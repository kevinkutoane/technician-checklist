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bssa-my.sharepoint.com/personal/kutoanek_gibs_co_za/Documents/Work Related/"/>
    </mc:Choice>
  </mc:AlternateContent>
  <xr:revisionPtr revIDLastSave="0" documentId="8_{C7A15F59-2199-E944-A206-0C34BDC0EB2B}" xr6:coauthVersionLast="47" xr6:coauthVersionMax="47" xr10:uidLastSave="{00000000-0000-0000-0000-000000000000}"/>
  <bookViews>
    <workbookView xWindow="-108" yWindow="-108" windowWidth="23256" windowHeight="12456" xr2:uid="{008F4BF6-D606-4033-AFCC-CD72A4CF19B0}"/>
  </bookViews>
  <sheets>
    <sheet name="Week Ahead 24 Feb - 02 Mar 25" sheetId="1" r:id="rId1"/>
    <sheet name="Lunches &amp; Special ev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 l="1"/>
  <c r="H88" i="2"/>
  <c r="H73" i="2"/>
  <c r="H58" i="2"/>
  <c r="H45" i="2"/>
  <c r="H26" i="2"/>
  <c r="H5" i="2"/>
  <c r="E22" i="1"/>
  <c r="E39" i="1"/>
  <c r="E66" i="1"/>
  <c r="E80" i="1"/>
  <c r="E94" i="1"/>
  <c r="E125" i="1"/>
  <c r="E140" i="1"/>
  <c r="E162" i="1"/>
  <c r="E181" i="1"/>
  <c r="E215" i="1"/>
  <c r="E197" i="1"/>
  <c r="F80" i="1"/>
  <c r="E233" i="1"/>
  <c r="F233" i="1"/>
  <c r="F197" i="1"/>
  <c r="F39" i="1"/>
  <c r="F244" i="1"/>
  <c r="F243" i="1"/>
  <c r="F140" i="1"/>
  <c r="F240" i="1"/>
  <c r="E240" i="1"/>
  <c r="E222" i="1"/>
  <c r="E243" i="1"/>
  <c r="F125" i="1"/>
  <c r="F162" i="1"/>
  <c r="F94" i="1"/>
  <c r="E244" i="1"/>
  <c r="F66" i="1"/>
  <c r="F222" i="1"/>
  <c r="F215" i="1"/>
  <c r="F181" i="1"/>
  <c r="F22" i="1"/>
  <c r="E245" i="1"/>
  <c r="F245" i="1"/>
</calcChain>
</file>

<file path=xl/sharedStrings.xml><?xml version="1.0" encoding="utf-8"?>
<sst xmlns="http://schemas.openxmlformats.org/spreadsheetml/2006/main" count="866" uniqueCount="332">
  <si>
    <t>TIMES</t>
  </si>
  <si>
    <t>VENUE</t>
  </si>
  <si>
    <t>COMPANY / COURSE</t>
  </si>
  <si>
    <t>Contact</t>
  </si>
  <si>
    <t>Pax  on campus</t>
  </si>
  <si>
    <t>Pax via Zoom</t>
  </si>
  <si>
    <t>Lecturer</t>
  </si>
  <si>
    <t>Syndicates &amp; Other Venues</t>
  </si>
  <si>
    <t>IT technical support required</t>
  </si>
  <si>
    <t>* Details to Follow</t>
  </si>
  <si>
    <t>07:00-17:00</t>
  </si>
  <si>
    <t>Auditorium</t>
  </si>
  <si>
    <t xml:space="preserve">IT required - on stanby </t>
  </si>
  <si>
    <t>08:00-17:00</t>
  </si>
  <si>
    <t>Classroom 3</t>
  </si>
  <si>
    <t>IT required</t>
  </si>
  <si>
    <t>07:30-16:00</t>
  </si>
  <si>
    <t>Classroom 4</t>
  </si>
  <si>
    <t>Classroom Africa</t>
  </si>
  <si>
    <t>Classroom 8</t>
  </si>
  <si>
    <t>07:00-16:00</t>
  </si>
  <si>
    <t>Classroom 9</t>
  </si>
  <si>
    <t>17:00-21:00</t>
  </si>
  <si>
    <t>07:30-17:00</t>
  </si>
  <si>
    <t>Classroom 12</t>
  </si>
  <si>
    <t xml:space="preserve">IT on standby </t>
  </si>
  <si>
    <t>17:30-20:30</t>
  </si>
  <si>
    <t>Podcast &amp; Teaching Studio</t>
  </si>
  <si>
    <t>17:30-20:00</t>
  </si>
  <si>
    <t>Seminar Room 3</t>
  </si>
  <si>
    <t>13:00-16:00</t>
  </si>
  <si>
    <t>Rooftop Pavilion</t>
  </si>
  <si>
    <t>TOTAL DELEGATES ON CAMPUS</t>
  </si>
  <si>
    <t>Non-programme information</t>
  </si>
  <si>
    <t>Day visitors</t>
  </si>
  <si>
    <t>Various</t>
  </si>
  <si>
    <t xml:space="preserve"> </t>
  </si>
  <si>
    <t>Classroom 10</t>
  </si>
  <si>
    <t xml:space="preserve">IT required </t>
  </si>
  <si>
    <t>Dining Room</t>
  </si>
  <si>
    <t>No</t>
  </si>
  <si>
    <t>08:30-10:00</t>
  </si>
  <si>
    <t>Conference Room</t>
  </si>
  <si>
    <t>09:00-17:00</t>
  </si>
  <si>
    <t xml:space="preserve">11:30-12:30 </t>
  </si>
  <si>
    <t>Meeting Room 18</t>
  </si>
  <si>
    <t xml:space="preserve">DATE </t>
  </si>
  <si>
    <t xml:space="preserve">Contact </t>
  </si>
  <si>
    <t xml:space="preserve">Syndicates &amp; Other Venues </t>
  </si>
  <si>
    <t>Programme information</t>
  </si>
  <si>
    <t>07:00-18:00</t>
  </si>
  <si>
    <t>Classroom 11</t>
  </si>
  <si>
    <t>IT on standby</t>
  </si>
  <si>
    <t>10:00-18:00</t>
  </si>
  <si>
    <t>17:30-21:15</t>
  </si>
  <si>
    <t>Syndicate Room 40-44</t>
  </si>
  <si>
    <t xml:space="preserve">Dining Room </t>
  </si>
  <si>
    <t xml:space="preserve">No </t>
  </si>
  <si>
    <t>HCD Training room</t>
  </si>
  <si>
    <t>Meeting room 18</t>
  </si>
  <si>
    <t>17:00-20:00</t>
  </si>
  <si>
    <t>10:00-11:00</t>
  </si>
  <si>
    <t>15:00-16:00</t>
  </si>
  <si>
    <t>13:30-15:00</t>
  </si>
  <si>
    <t>10:00-14:00</t>
  </si>
  <si>
    <t>Syndicate Room 47</t>
  </si>
  <si>
    <t>DATE</t>
  </si>
  <si>
    <t>Venues</t>
  </si>
  <si>
    <t>Programme Information</t>
  </si>
  <si>
    <t>14:00-15:00</t>
  </si>
  <si>
    <t>Pax</t>
  </si>
  <si>
    <t>07:00-15:00</t>
  </si>
  <si>
    <t>07:30-14:00</t>
  </si>
  <si>
    <t>07:00-14:00</t>
  </si>
  <si>
    <t>08:30-16:30</t>
  </si>
  <si>
    <t>Syndicates</t>
  </si>
  <si>
    <t>Programmes Bookings on campus</t>
  </si>
  <si>
    <t>Other Bookings</t>
  </si>
  <si>
    <t>TOTAL DELEGATES ON CAMPUS FOR THE WEEK</t>
  </si>
  <si>
    <t>OFF CAMPUS PROGRAMMES</t>
  </si>
  <si>
    <t>PROGRAMME</t>
  </si>
  <si>
    <t>CONTACT</t>
  </si>
  <si>
    <t>PAX</t>
  </si>
  <si>
    <t>LECTURER</t>
  </si>
  <si>
    <t>GROUP</t>
  </si>
  <si>
    <t>`</t>
  </si>
  <si>
    <t>CURRENT WEEK</t>
  </si>
  <si>
    <t>COMPANY</t>
  </si>
  <si>
    <t>TIME</t>
  </si>
  <si>
    <t xml:space="preserve">Catering  </t>
  </si>
  <si>
    <t xml:space="preserve">Halaal </t>
  </si>
  <si>
    <t>Kosher</t>
  </si>
  <si>
    <t xml:space="preserve">Venues </t>
  </si>
  <si>
    <t xml:space="preserve">Pax </t>
  </si>
  <si>
    <t>SPECIAL EVENTS :</t>
  </si>
  <si>
    <t xml:space="preserve">New Venue Name </t>
  </si>
  <si>
    <t xml:space="preserve">* Restaurant - Tamboti Restaurant </t>
  </si>
  <si>
    <t>* Giraffe - Marula Venue</t>
  </si>
  <si>
    <t xml:space="preserve">* Mookana Lunch - Baobab </t>
  </si>
  <si>
    <t xml:space="preserve">Dinner Pack </t>
  </si>
  <si>
    <t xml:space="preserve">Meal of the day </t>
  </si>
  <si>
    <t>Thabang Nyalungu » (1) PMD 67 Online - Business Strategy (Simulation) - 17:00-20:00</t>
  </si>
  <si>
    <t>Kathy Davidson » (15) VC Weekly Pipeline Review - 09:00-11:00</t>
  </si>
  <si>
    <t>Mahlatse Mehlape » (15) Center for Business Ethics Annual Board Meeting - 12:30-17:00</t>
  </si>
  <si>
    <t>Pretty Moremi » (80) Economic Foresight - 17:30-20:00</t>
  </si>
  <si>
    <t>Antoinette Mnana » (15) LUMINA SPARK WORKSHOP - 08:00-17:00</t>
  </si>
  <si>
    <t>Patricia Ngema » (8) CAB Meeting - 10:15-11:15</t>
  </si>
  <si>
    <t xml:space="preserve">Meal of the Day </t>
  </si>
  <si>
    <t>09:00-11:00</t>
  </si>
  <si>
    <t xml:space="preserve">Classroom 12 </t>
  </si>
  <si>
    <t>12:00-20:30</t>
  </si>
  <si>
    <t>12:30-15:30</t>
  </si>
  <si>
    <t xml:space="preserve">IT required - SP required </t>
  </si>
  <si>
    <t>10:00-12:00</t>
  </si>
  <si>
    <t>Faculty Tea</t>
  </si>
  <si>
    <t>Academic faculty lounge</t>
  </si>
  <si>
    <t>10:45-11:30</t>
  </si>
  <si>
    <t>HCD Meeting</t>
  </si>
  <si>
    <t>Joyce Ndweni</t>
  </si>
  <si>
    <t xml:space="preserve">Mike Holland &amp; Ravi Pillay </t>
  </si>
  <si>
    <t>1x Snack (Early), 1x Snack (Mid), 1x Lunch, 1x Snack (late)</t>
  </si>
  <si>
    <t>Classroom 1</t>
  </si>
  <si>
    <t>09:30-12:00</t>
  </si>
  <si>
    <t>12:00-13:30</t>
  </si>
  <si>
    <t>Online AdvDip Information Technology</t>
  </si>
  <si>
    <t>Conference room</t>
  </si>
  <si>
    <t>Session producer</t>
  </si>
  <si>
    <t>Prof Manoj Chiba</t>
  </si>
  <si>
    <t>EY Auditors</t>
  </si>
  <si>
    <t>VC SLT Weekly Meeting</t>
  </si>
  <si>
    <t>Kathy Davidson</t>
  </si>
  <si>
    <t>Amogelang Moerane</t>
  </si>
  <si>
    <t>Marianne van Niekerk</t>
  </si>
  <si>
    <t>Dimakatjo Mamabolo</t>
  </si>
  <si>
    <t>2024 Online AdvDipGM, Grp 1</t>
  </si>
  <si>
    <t>Nasiphi Siyolo</t>
  </si>
  <si>
    <t>Amanda Witbooi</t>
  </si>
  <si>
    <t>Nashvir Hansraj</t>
  </si>
  <si>
    <t>VC Weekly Pipeline Review</t>
  </si>
  <si>
    <t>Anathi Harmans</t>
  </si>
  <si>
    <t>Sydney Phiri</t>
  </si>
  <si>
    <t>Zinhle Radebe</t>
  </si>
  <si>
    <t xml:space="preserve">PDBA PT Online 2024.25 group 1 </t>
  </si>
  <si>
    <t>Ismael Mulaudzi</t>
  </si>
  <si>
    <t>Bronwyn Bailey</t>
  </si>
  <si>
    <t>Mamohau Sefike</t>
  </si>
  <si>
    <t>PGDip 2025 PT Red</t>
  </si>
  <si>
    <t>Tracy Sebeza</t>
  </si>
  <si>
    <t>Ellen Nkwinika</t>
  </si>
  <si>
    <t>PDBA PT (Online) Group 2</t>
  </si>
  <si>
    <t>Thembelihle Mnyandu</t>
  </si>
  <si>
    <t>Weekly IT PMO meeting</t>
  </si>
  <si>
    <t>Seminar room 3</t>
  </si>
  <si>
    <t>Nkululeko Gojela</t>
  </si>
  <si>
    <t>09:00-10:30</t>
  </si>
  <si>
    <t>OP Sales &amp; Marketing Meeting</t>
  </si>
  <si>
    <t>Lorna Phipps</t>
  </si>
  <si>
    <t>Yadhina Sing</t>
  </si>
  <si>
    <t>Advanced Diploma 2024 offered Online | Group 2 - Strategic Leadership &amp; Management</t>
  </si>
  <si>
    <t>Prof Caren Scheepers</t>
  </si>
  <si>
    <t>Dr Udo Osuigwe</t>
  </si>
  <si>
    <t>Dr Maanda Tshifularo</t>
  </si>
  <si>
    <t>PAL Meeting</t>
  </si>
  <si>
    <t>Antoinette Mnana</t>
  </si>
  <si>
    <t>Prof John Ford &amp; Mike Holland</t>
  </si>
  <si>
    <t>PGDip 2025 PT Yellow</t>
  </si>
  <si>
    <t>07:00-17:30</t>
  </si>
  <si>
    <t>2x Dinner</t>
  </si>
  <si>
    <t>1x Dinner</t>
  </si>
  <si>
    <t>Dinner pack</t>
  </si>
  <si>
    <t xml:space="preserve"> Monday 24 February 2025</t>
  </si>
  <si>
    <t>Tuesday 25 February 2025</t>
  </si>
  <si>
    <t>Wednesday 26 February 2025</t>
  </si>
  <si>
    <t>Thursday 27 February 2025</t>
  </si>
  <si>
    <t>Friday 28 February 2025</t>
  </si>
  <si>
    <t>Saturday 01 March 2025</t>
  </si>
  <si>
    <t>Sunday 02 March 2025</t>
  </si>
  <si>
    <t>24 February - 02 March 2025</t>
  </si>
  <si>
    <t>Monday 24 February 2025</t>
  </si>
  <si>
    <t>PDBA FT 2025- Photos &amp; Academic procession</t>
  </si>
  <si>
    <t>Lungisani Zulu</t>
  </si>
  <si>
    <t>Classroom 3, Dining room &amp; lawn</t>
  </si>
  <si>
    <t>07:30-16:30</t>
  </si>
  <si>
    <t>Rendezvous Pricing Updates</t>
  </si>
  <si>
    <t>Sibusiso Maseko</t>
  </si>
  <si>
    <t>TETA Panel Interviews | Day 3</t>
  </si>
  <si>
    <t>Light lunch 5</t>
  </si>
  <si>
    <t>Prof John Ford</t>
  </si>
  <si>
    <t>Norway, UP and GIBS</t>
  </si>
  <si>
    <t>IT to ensure &amp; assist tech set up for laptop</t>
  </si>
  <si>
    <t>Norway discussion Prof Scheepers</t>
  </si>
  <si>
    <t>12:00-13:00</t>
  </si>
  <si>
    <t>Classroom upgrade - Network Team</t>
  </si>
  <si>
    <t>Classroom 6</t>
  </si>
  <si>
    <t>07:00-23:00</t>
  </si>
  <si>
    <t>Strategy &amp; Planning Session 2</t>
  </si>
  <si>
    <t>09:00-16:00</t>
  </si>
  <si>
    <t>Kate Robertson</t>
  </si>
  <si>
    <t>Light lunch menu 3</t>
  </si>
  <si>
    <t>16:45-20:30</t>
  </si>
  <si>
    <t xml:space="preserve">SABC Supplier Development Programme </t>
  </si>
  <si>
    <t>Dashal Naidoo</t>
  </si>
  <si>
    <t>IT required to set up Hybrid</t>
  </si>
  <si>
    <t>07:00-16:30</t>
  </si>
  <si>
    <t>PDBAF FT 2025</t>
  </si>
  <si>
    <t xml:space="preserve">PGDip 2024.25 Intensive </t>
  </si>
  <si>
    <t>Khanyisile Mannya</t>
  </si>
  <si>
    <t>Monthly Exco Meeting</t>
  </si>
  <si>
    <t>09:00 - 17:00</t>
  </si>
  <si>
    <t>Lekha Seeth</t>
  </si>
  <si>
    <t>IT to ensure equipment is set up by 08:30.Jabra mics to be setup</t>
  </si>
  <si>
    <t>ExCo lunch option 3</t>
  </si>
  <si>
    <t xml:space="preserve">Dining room </t>
  </si>
  <si>
    <t>13:00-14:00</t>
  </si>
  <si>
    <t>Cost Variance Review Meeting</t>
  </si>
  <si>
    <t>Classroom upgrade - Network team</t>
  </si>
  <si>
    <t>The Big Trends Breakfast 2025</t>
  </si>
  <si>
    <t>Full English Breakfast</t>
  </si>
  <si>
    <t>Belinda Boxall</t>
  </si>
  <si>
    <t>PDBA FT 2025 LEAD</t>
  </si>
  <si>
    <t>Mr Mike Holland</t>
  </si>
  <si>
    <t>MBA 2024.25 PT Red Group</t>
  </si>
  <si>
    <t>Linda Maboea</t>
  </si>
  <si>
    <t>Prof Charlene Lew</t>
  </si>
  <si>
    <t>IT required to assist  faculty set up</t>
  </si>
  <si>
    <t>IT required - Hybrid</t>
  </si>
  <si>
    <t>OP Team Meeting</t>
  </si>
  <si>
    <t>Eulalia Vaughan</t>
  </si>
  <si>
    <t>11:00-12:00</t>
  </si>
  <si>
    <t>Yoga Session</t>
  </si>
  <si>
    <t>AE Coordinators Connect Session</t>
  </si>
  <si>
    <t>CE Monthly SMT</t>
  </si>
  <si>
    <t>UP Visit to GIBS</t>
  </si>
  <si>
    <t>11:00-13:00</t>
  </si>
  <si>
    <t>Abdullah Verachia</t>
  </si>
  <si>
    <t>14:00-17:00</t>
  </si>
  <si>
    <t>Butter chicken, rice and salad</t>
  </si>
  <si>
    <t>MOTUS</t>
  </si>
  <si>
    <t>09:00-13:00</t>
  </si>
  <si>
    <t>NSI</t>
  </si>
  <si>
    <t>Hybrid Equipment</t>
  </si>
  <si>
    <t>CETA Leadership Programme Meeting</t>
  </si>
  <si>
    <t>Katleho Tsotsotso</t>
  </si>
  <si>
    <t xml:space="preserve">PGDIP 2025 SB Green </t>
  </si>
  <si>
    <t>14:15-17:00</t>
  </si>
  <si>
    <t>Prof Manoj Chiba &amp; Prof Marianne Mathee</t>
  </si>
  <si>
    <t>MBA 2024.25 PT Yellow Group</t>
  </si>
  <si>
    <t>IT required to set up faculty</t>
  </si>
  <si>
    <t>Classroom8</t>
  </si>
  <si>
    <t>17:30-21:00</t>
  </si>
  <si>
    <t>3x Dinner</t>
  </si>
  <si>
    <t>Masana Executive Programme</t>
  </si>
  <si>
    <t>1xSnack(Early), 1x Snack(Mid), 1x Lunch, 1x Snack(Late)</t>
  </si>
  <si>
    <t>IT on standby Session producer required.</t>
  </si>
  <si>
    <t>Tamboti Restaurant</t>
  </si>
  <si>
    <t>Standard Bank Youth-Forward: Graduation</t>
  </si>
  <si>
    <t>09:00-18:00</t>
  </si>
  <si>
    <t>TBC</t>
  </si>
  <si>
    <t>Marketing</t>
  </si>
  <si>
    <t>Carrot cake</t>
  </si>
  <si>
    <t>Standard finger lunch</t>
  </si>
  <si>
    <t>2x Snack(Early), 2x Snack(Mid)2x Lunch</t>
  </si>
  <si>
    <t>Prof John Ford and  Mr Mike Holland</t>
  </si>
  <si>
    <t>Lawn &amp; Tamboti@14:00-16:30</t>
  </si>
  <si>
    <t>MBA Direct 2024.25</t>
  </si>
  <si>
    <t>Tshepiso Kekana</t>
  </si>
  <si>
    <t>Prof Gavin Price</t>
  </si>
  <si>
    <t>2x Snack(Early), 2x Snack(Mid)2x Lunch, 2x Snack(Late)</t>
  </si>
  <si>
    <t>PDBA PT 2025</t>
  </si>
  <si>
    <t>Thornhill</t>
  </si>
  <si>
    <t>15:00-16:30</t>
  </si>
  <si>
    <t>VC Sales Management Meeting</t>
  </si>
  <si>
    <t>1x Snack(Early),1x Snack(Mid)1x Lunch</t>
  </si>
  <si>
    <t>University of Pretoria Group Coaching</t>
  </si>
  <si>
    <t>Alfred Maluleke</t>
  </si>
  <si>
    <t>Jenny Lorenzo</t>
  </si>
  <si>
    <t>Meal of the day</t>
  </si>
  <si>
    <t>Aspen Ascend Final Presentations</t>
  </si>
  <si>
    <t>07:30-13:00</t>
  </si>
  <si>
    <t>Tammy Parrie</t>
  </si>
  <si>
    <t>Aspen Ascend Certificate Celebrations 2024/5</t>
  </si>
  <si>
    <t>Standard Finger Dinner</t>
  </si>
  <si>
    <t>3x Snack(Early), 3x Finger lunch</t>
  </si>
  <si>
    <t>PGDip 2025 SB Green</t>
  </si>
  <si>
    <t>2x Snack(Early), 2x Snack(Mid), 2x Lunch</t>
  </si>
  <si>
    <t>YLED</t>
  </si>
  <si>
    <t>Classroom 2</t>
  </si>
  <si>
    <t>Classromm Africa</t>
  </si>
  <si>
    <t>Prof Charlene Lew &amp; Prof Mike Ward</t>
  </si>
  <si>
    <t>2x Snack(Early), 2x Snack(Mid), 2x Lunch,2x Snack(Late)</t>
  </si>
  <si>
    <t>MBA 2024.25 PT Red</t>
  </si>
  <si>
    <t>Danielle Meyerowitz</t>
  </si>
  <si>
    <t>IT to assist faculty set up</t>
  </si>
  <si>
    <t>08:00-16:30</t>
  </si>
  <si>
    <t xml:space="preserve"> 2x Snack(Mid), 2x Lunch</t>
  </si>
  <si>
    <t>1x snack(Early),12x Snack (Mid)1x Lunch</t>
  </si>
  <si>
    <t>Prof John Ford &amp; Mr Mike Holland</t>
  </si>
  <si>
    <t>2x Snack (Early), 2x Snack (Mid), 2x Lunch</t>
  </si>
  <si>
    <t>Prof Mike Ward &amp; Thomas Kgokolo</t>
  </si>
  <si>
    <t>MBA 2024.25 PT Yellow</t>
  </si>
  <si>
    <t>Wesley Rosslyn-Smith</t>
  </si>
  <si>
    <t>IT required to assist faculty set up</t>
  </si>
  <si>
    <t>2x Snack (Early), 2x Snack (Mid), 2x Lunch,2x Snack(Late)</t>
  </si>
  <si>
    <t>3x Snack(Mid), 3x Lunch</t>
  </si>
  <si>
    <t>1x Snack(Early), 1x Snack(Mid), 1x Lunch</t>
  </si>
  <si>
    <t>Tamboti</t>
  </si>
  <si>
    <t>Classroom4</t>
  </si>
  <si>
    <t>Marula</t>
  </si>
  <si>
    <t>Baobab</t>
  </si>
  <si>
    <t>Bar snacks</t>
  </si>
  <si>
    <t>Lawn</t>
  </si>
  <si>
    <t>13:45-16:00</t>
  </si>
  <si>
    <t>TETA Board Members Meeting</t>
  </si>
  <si>
    <t>Tlangelani Jassie</t>
  </si>
  <si>
    <t>IT to set up Hybrid</t>
  </si>
  <si>
    <t>1x Snack(Early),1x Snack(Mid),1x Lunch</t>
  </si>
  <si>
    <t>1x Snack(Early),1x Snack(Mid),1x Lunch,1x Snack(Late)</t>
  </si>
  <si>
    <t>Tech</t>
  </si>
  <si>
    <t>Thabo - Kevin</t>
  </si>
  <si>
    <t>Tshepo - Desire</t>
  </si>
  <si>
    <t>Thabo - Desire</t>
  </si>
  <si>
    <t>Tshepo - Kevin</t>
  </si>
  <si>
    <t>Desire</t>
  </si>
  <si>
    <t>Tshepo</t>
  </si>
  <si>
    <t>Kevin</t>
  </si>
  <si>
    <t>Edson - Kevin</t>
  </si>
  <si>
    <t>Edson - Desire</t>
  </si>
  <si>
    <t>Tshep - Kevin</t>
  </si>
  <si>
    <t>Edsin</t>
  </si>
  <si>
    <t>Edson</t>
  </si>
  <si>
    <t>Edson - Thabo</t>
  </si>
  <si>
    <t>Edson- Thabo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</si>
</sst>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theme="3" tint="-0.249977111117893"/>
      <name val="Arial"/>
      <family val="2"/>
    </font>
    <font>
      <sz val="9"/>
      <color rgb="FF002060"/>
      <name val="Arial"/>
      <family val="2"/>
    </font>
    <font>
      <sz val="10"/>
      <color rgb="FF00206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32" fillId="0" borderId="0" applyNumberFormat="0" applyFill="0" applyBorder="0" applyAlignment="0" applyProtection="0"/>
  </cellStyleXfs>
  <cellXfs count="30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" fillId="0" borderId="0" xfId="0" applyFont="1"/>
    <xf numFmtId="0" fontId="3" fillId="3" borderId="2" xfId="1" applyFont="1" applyFill="1" applyBorder="1" applyAlignment="1">
      <alignment horizontal="right" vertical="center" wrapText="1"/>
    </xf>
    <xf numFmtId="0" fontId="3" fillId="3" borderId="3" xfId="1" applyFont="1" applyFill="1" applyBorder="1" applyAlignment="1">
      <alignment horizontal="right" vertical="center" wrapText="1"/>
    </xf>
    <xf numFmtId="0" fontId="3" fillId="3" borderId="4" xfId="1" applyFont="1" applyFill="1" applyBorder="1" applyAlignment="1">
      <alignment horizontal="right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9" fillId="5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4" borderId="16" xfId="1" applyFont="1" applyFill="1" applyBorder="1" applyAlignment="1">
      <alignment vertical="center" wrapText="1"/>
    </xf>
    <xf numFmtId="0" fontId="5" fillId="4" borderId="16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5" fillId="5" borderId="2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1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10" fillId="5" borderId="1" xfId="1" applyFont="1" applyFill="1" applyBorder="1" applyAlignment="1">
      <alignment horizontal="left" vertical="center" wrapText="1"/>
    </xf>
    <xf numFmtId="0" fontId="9" fillId="5" borderId="1" xfId="1" applyFont="1" applyFill="1" applyBorder="1" applyAlignment="1">
      <alignment horizontal="left" vertical="center" wrapText="1"/>
    </xf>
    <xf numFmtId="0" fontId="9" fillId="5" borderId="2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16" xfId="1" applyFont="1" applyBorder="1" applyAlignment="1">
      <alignment vertical="center" wrapText="1"/>
    </xf>
    <xf numFmtId="0" fontId="3" fillId="0" borderId="16" xfId="1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20" xfId="1" applyFont="1" applyBorder="1"/>
    <xf numFmtId="0" fontId="16" fillId="0" borderId="0" xfId="1" applyFont="1"/>
    <xf numFmtId="0" fontId="17" fillId="0" borderId="0" xfId="0" applyFont="1"/>
    <xf numFmtId="0" fontId="2" fillId="0" borderId="0" xfId="1"/>
    <xf numFmtId="0" fontId="15" fillId="0" borderId="21" xfId="1" applyFont="1" applyBorder="1" applyAlignment="1">
      <alignment horizontal="center"/>
    </xf>
    <xf numFmtId="0" fontId="15" fillId="0" borderId="22" xfId="1" applyFont="1" applyBorder="1" applyAlignment="1">
      <alignment horizontal="center"/>
    </xf>
    <xf numFmtId="0" fontId="15" fillId="0" borderId="23" xfId="1" applyFont="1" applyBorder="1" applyAlignment="1">
      <alignment horizontal="center"/>
    </xf>
    <xf numFmtId="0" fontId="7" fillId="0" borderId="24" xfId="1" applyFont="1" applyBorder="1" applyAlignment="1">
      <alignment vertical="center" wrapText="1"/>
    </xf>
    <xf numFmtId="0" fontId="15" fillId="0" borderId="26" xfId="1" applyFont="1" applyBorder="1"/>
    <xf numFmtId="0" fontId="15" fillId="0" borderId="27" xfId="1" applyFont="1" applyBorder="1" applyAlignment="1">
      <alignment horizontal="left"/>
    </xf>
    <xf numFmtId="0" fontId="7" fillId="0" borderId="15" xfId="1" applyFont="1" applyBorder="1" applyAlignment="1">
      <alignment horizontal="left" vertical="center" wrapText="1"/>
    </xf>
    <xf numFmtId="0" fontId="15" fillId="0" borderId="26" xfId="1" applyFont="1" applyBorder="1" applyAlignment="1">
      <alignment wrapText="1"/>
    </xf>
    <xf numFmtId="0" fontId="0" fillId="0" borderId="0" xfId="0" applyAlignment="1">
      <alignment wrapText="1"/>
    </xf>
    <xf numFmtId="0" fontId="7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7" fillId="0" borderId="16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7" fillId="4" borderId="1" xfId="0" applyFont="1" applyFill="1" applyBorder="1" applyAlignment="1">
      <alignment horizontal="left" vertical="center" wrapText="1"/>
    </xf>
    <xf numFmtId="0" fontId="15" fillId="0" borderId="0" xfId="1" applyFont="1" applyAlignment="1">
      <alignment vertical="center" wrapText="1"/>
    </xf>
    <xf numFmtId="0" fontId="15" fillId="0" borderId="22" xfId="1" applyFont="1" applyBorder="1" applyAlignment="1">
      <alignment horizontal="center" vertical="center" wrapText="1"/>
    </xf>
    <xf numFmtId="0" fontId="15" fillId="0" borderId="28" xfId="1" applyFont="1" applyBorder="1"/>
    <xf numFmtId="0" fontId="15" fillId="0" borderId="28" xfId="1" applyFont="1" applyBorder="1" applyAlignment="1">
      <alignment wrapText="1"/>
    </xf>
    <xf numFmtId="0" fontId="7" fillId="0" borderId="29" xfId="0" applyFont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1" xfId="1" applyFont="1" applyFill="1" applyBorder="1" applyAlignment="1">
      <alignment horizontal="center" vertical="center" wrapText="1"/>
    </xf>
    <xf numFmtId="0" fontId="7" fillId="4" borderId="31" xfId="1" applyFont="1" applyFill="1" applyBorder="1" applyAlignment="1">
      <alignment vertical="center" wrapText="1"/>
    </xf>
    <xf numFmtId="0" fontId="9" fillId="0" borderId="2" xfId="1" applyFont="1" applyBorder="1" applyAlignment="1">
      <alignment horizontal="left" vertical="center" wrapText="1"/>
    </xf>
    <xf numFmtId="0" fontId="0" fillId="0" borderId="1" xfId="0" applyBorder="1"/>
    <xf numFmtId="0" fontId="15" fillId="0" borderId="1" xfId="1" applyFont="1" applyBorder="1"/>
    <xf numFmtId="0" fontId="15" fillId="0" borderId="1" xfId="1" applyFont="1" applyBorder="1" applyAlignment="1">
      <alignment wrapText="1"/>
    </xf>
    <xf numFmtId="0" fontId="7" fillId="0" borderId="12" xfId="0" applyFont="1" applyBorder="1" applyAlignment="1">
      <alignment horizontal="left" vertical="center" wrapText="1"/>
    </xf>
    <xf numFmtId="0" fontId="20" fillId="6" borderId="0" xfId="0" applyFont="1" applyFill="1"/>
    <xf numFmtId="0" fontId="9" fillId="4" borderId="34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7" fillId="4" borderId="35" xfId="1" applyFont="1" applyFill="1" applyBorder="1" applyAlignment="1">
      <alignment horizontal="center"/>
    </xf>
    <xf numFmtId="0" fontId="15" fillId="0" borderId="39" xfId="1" applyFont="1" applyBorder="1" applyAlignment="1">
      <alignment horizontal="center"/>
    </xf>
    <xf numFmtId="0" fontId="0" fillId="4" borderId="1" xfId="0" applyFill="1" applyBorder="1"/>
    <xf numFmtId="0" fontId="15" fillId="0" borderId="20" xfId="1" applyFont="1" applyBorder="1" applyAlignment="1">
      <alignment horizontal="center"/>
    </xf>
    <xf numFmtId="0" fontId="1" fillId="0" borderId="1" xfId="0" applyFont="1" applyBorder="1"/>
    <xf numFmtId="20" fontId="7" fillId="0" borderId="36" xfId="1" applyNumberFormat="1" applyFont="1" applyBorder="1" applyAlignment="1">
      <alignment horizontal="center" vertical="center"/>
    </xf>
    <xf numFmtId="20" fontId="7" fillId="0" borderId="37" xfId="1" applyNumberFormat="1" applyFont="1" applyBorder="1" applyAlignment="1">
      <alignment horizontal="center" vertical="center"/>
    </xf>
    <xf numFmtId="20" fontId="7" fillId="0" borderId="36" xfId="1" applyNumberFormat="1" applyFont="1" applyBorder="1" applyAlignment="1">
      <alignment horizontal="center"/>
    </xf>
    <xf numFmtId="20" fontId="7" fillId="4" borderId="35" xfId="1" applyNumberFormat="1" applyFont="1" applyFill="1" applyBorder="1" applyAlignment="1">
      <alignment horizontal="center" vertical="center"/>
    </xf>
    <xf numFmtId="20" fontId="7" fillId="4" borderId="35" xfId="1" applyNumberFormat="1" applyFont="1" applyFill="1" applyBorder="1" applyAlignment="1">
      <alignment horizontal="center"/>
    </xf>
    <xf numFmtId="20" fontId="7" fillId="0" borderId="2" xfId="1" applyNumberFormat="1" applyFont="1" applyBorder="1" applyAlignment="1">
      <alignment horizontal="center"/>
    </xf>
    <xf numFmtId="20" fontId="7" fillId="4" borderId="38" xfId="1" applyNumberFormat="1" applyFont="1" applyFill="1" applyBorder="1" applyAlignment="1">
      <alignment horizontal="center"/>
    </xf>
    <xf numFmtId="20" fontId="7" fillId="4" borderId="2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7" fillId="4" borderId="20" xfId="1" applyFont="1" applyFill="1" applyBorder="1" applyAlignment="1">
      <alignment horizontal="center" vertical="center"/>
    </xf>
    <xf numFmtId="0" fontId="7" fillId="4" borderId="20" xfId="1" applyFont="1" applyFill="1" applyBorder="1" applyAlignment="1">
      <alignment horizontal="center"/>
    </xf>
    <xf numFmtId="0" fontId="15" fillId="0" borderId="35" xfId="1" applyFont="1" applyBorder="1" applyAlignment="1">
      <alignment horizontal="center"/>
    </xf>
    <xf numFmtId="0" fontId="15" fillId="0" borderId="43" xfId="1" applyFont="1" applyBorder="1" applyAlignment="1">
      <alignment horizontal="center"/>
    </xf>
    <xf numFmtId="0" fontId="0" fillId="4" borderId="4" xfId="0" applyFill="1" applyBorder="1"/>
    <xf numFmtId="0" fontId="7" fillId="3" borderId="40" xfId="1" applyFont="1" applyFill="1" applyBorder="1" applyAlignment="1">
      <alignment horizontal="center" vertical="center"/>
    </xf>
    <xf numFmtId="0" fontId="7" fillId="3" borderId="40" xfId="1" applyFont="1" applyFill="1" applyBorder="1" applyAlignment="1">
      <alignment horizontal="center" vertical="center" wrapText="1"/>
    </xf>
    <xf numFmtId="0" fontId="7" fillId="3" borderId="33" xfId="1" applyFont="1" applyFill="1" applyBorder="1" applyAlignment="1">
      <alignment horizontal="center" vertical="center"/>
    </xf>
    <xf numFmtId="0" fontId="21" fillId="0" borderId="26" xfId="1" applyFont="1" applyBorder="1" applyAlignment="1">
      <alignment horizontal="left" wrapText="1"/>
    </xf>
    <xf numFmtId="0" fontId="21" fillId="0" borderId="25" xfId="1" applyFont="1" applyBorder="1" applyAlignment="1">
      <alignment wrapText="1"/>
    </xf>
    <xf numFmtId="0" fontId="21" fillId="0" borderId="32" xfId="1" applyFont="1" applyBorder="1" applyAlignment="1">
      <alignment wrapText="1"/>
    </xf>
    <xf numFmtId="0" fontId="21" fillId="0" borderId="30" xfId="1" applyFont="1" applyBorder="1" applyAlignment="1">
      <alignment wrapText="1"/>
    </xf>
    <xf numFmtId="0" fontId="21" fillId="0" borderId="33" xfId="1" applyFont="1" applyBorder="1"/>
    <xf numFmtId="15" fontId="21" fillId="0" borderId="20" xfId="1" applyNumberFormat="1" applyFont="1" applyBorder="1" applyAlignment="1">
      <alignment horizontal="center" vertical="center" wrapText="1"/>
    </xf>
    <xf numFmtId="0" fontId="20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9" fillId="0" borderId="1" xfId="1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1" fillId="0" borderId="0" xfId="0" applyFont="1"/>
    <xf numFmtId="20" fontId="7" fillId="0" borderId="1" xfId="1" applyNumberFormat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5" fillId="0" borderId="44" xfId="1" applyFont="1" applyBorder="1" applyAlignment="1">
      <alignment horizontal="center"/>
    </xf>
    <xf numFmtId="0" fontId="0" fillId="4" borderId="2" xfId="0" applyFill="1" applyBorder="1"/>
    <xf numFmtId="0" fontId="1" fillId="0" borderId="2" xfId="0" applyFont="1" applyBorder="1"/>
    <xf numFmtId="0" fontId="1" fillId="4" borderId="2" xfId="0" applyFont="1" applyFill="1" applyBorder="1"/>
    <xf numFmtId="0" fontId="1" fillId="0" borderId="2" xfId="0" applyFont="1" applyBorder="1" applyAlignment="1">
      <alignment wrapText="1"/>
    </xf>
    <xf numFmtId="0" fontId="24" fillId="0" borderId="1" xfId="0" applyFont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5" fillId="4" borderId="1" xfId="0" applyFont="1" applyFill="1" applyBorder="1"/>
    <xf numFmtId="0" fontId="3" fillId="5" borderId="2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20" fontId="7" fillId="0" borderId="2" xfId="1" applyNumberFormat="1" applyFont="1" applyBorder="1" applyAlignment="1">
      <alignment horizontal="center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2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left" vertical="center"/>
    </xf>
    <xf numFmtId="0" fontId="7" fillId="7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2" fillId="4" borderId="20" xfId="1" applyFill="1" applyBorder="1" applyAlignment="1">
      <alignment horizontal="center" vertical="center"/>
    </xf>
    <xf numFmtId="0" fontId="7" fillId="4" borderId="42" xfId="1" applyFont="1" applyFill="1" applyBorder="1" applyAlignment="1">
      <alignment horizontal="center" vertical="center"/>
    </xf>
    <xf numFmtId="0" fontId="7" fillId="4" borderId="41" xfId="1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15" fillId="0" borderId="0" xfId="1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/>
    </xf>
    <xf numFmtId="0" fontId="9" fillId="5" borderId="2" xfId="1" applyFont="1" applyFill="1" applyBorder="1" applyAlignment="1">
      <alignment horizontal="center" vertical="center" wrapText="1"/>
    </xf>
    <xf numFmtId="1" fontId="25" fillId="4" borderId="1" xfId="0" applyNumberFormat="1" applyFont="1" applyFill="1" applyBorder="1"/>
    <xf numFmtId="0" fontId="7" fillId="3" borderId="20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1" xfId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7" fillId="0" borderId="3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29" fillId="0" borderId="45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7" fillId="5" borderId="16" xfId="0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0" borderId="1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left" vertical="center" wrapText="1"/>
    </xf>
    <xf numFmtId="0" fontId="3" fillId="4" borderId="21" xfId="1" applyFont="1" applyFill="1" applyBorder="1" applyAlignment="1">
      <alignment vertical="center" wrapText="1"/>
    </xf>
    <xf numFmtId="0" fontId="10" fillId="5" borderId="16" xfId="1" applyFont="1" applyFill="1" applyBorder="1" applyAlignment="1">
      <alignment vertical="center" wrapText="1"/>
    </xf>
    <xf numFmtId="0" fontId="9" fillId="5" borderId="16" xfId="1" applyFont="1" applyFill="1" applyBorder="1" applyAlignment="1">
      <alignment vertical="center" wrapText="1"/>
    </xf>
    <xf numFmtId="0" fontId="9" fillId="5" borderId="16" xfId="1" applyFont="1" applyFill="1" applyBorder="1" applyAlignment="1">
      <alignment horizontal="center" vertical="center" wrapText="1"/>
    </xf>
    <xf numFmtId="0" fontId="9" fillId="5" borderId="16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/>
    </xf>
    <xf numFmtId="0" fontId="31" fillId="5" borderId="2" xfId="3" applyFont="1" applyFill="1" applyBorder="1" applyAlignment="1">
      <alignment horizontal="center" vertical="center" wrapText="1"/>
    </xf>
    <xf numFmtId="0" fontId="0" fillId="0" borderId="46" xfId="0" applyBorder="1"/>
    <xf numFmtId="0" fontId="33" fillId="5" borderId="4" xfId="0" applyFont="1" applyFill="1" applyBorder="1" applyAlignment="1">
      <alignment vertical="center" wrapText="1"/>
    </xf>
    <xf numFmtId="0" fontId="33" fillId="5" borderId="1" xfId="0" applyFont="1" applyFill="1" applyBorder="1" applyAlignment="1">
      <alignment vertical="center"/>
    </xf>
    <xf numFmtId="0" fontId="23" fillId="5" borderId="2" xfId="0" applyFont="1" applyFill="1" applyBorder="1"/>
    <xf numFmtId="0" fontId="34" fillId="5" borderId="1" xfId="0" applyFont="1" applyFill="1" applyBorder="1"/>
    <xf numFmtId="20" fontId="7" fillId="5" borderId="36" xfId="1" applyNumberFormat="1" applyFont="1" applyFill="1" applyBorder="1" applyAlignment="1">
      <alignment horizontal="center"/>
    </xf>
    <xf numFmtId="0" fontId="2" fillId="3" borderId="40" xfId="1" applyFill="1" applyBorder="1" applyAlignment="1">
      <alignment horizontal="center" vertical="center"/>
    </xf>
    <xf numFmtId="0" fontId="5" fillId="5" borderId="16" xfId="1" applyFont="1" applyFill="1" applyBorder="1" applyAlignment="1">
      <alignment vertical="center" wrapText="1"/>
    </xf>
    <xf numFmtId="0" fontId="5" fillId="5" borderId="12" xfId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5" borderId="16" xfId="1" applyFont="1" applyFill="1" applyBorder="1" applyAlignment="1">
      <alignment horizontal="center" vertical="center" wrapText="1"/>
    </xf>
    <xf numFmtId="0" fontId="5" fillId="5" borderId="16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15" fillId="0" borderId="47" xfId="1" applyFont="1" applyBorder="1" applyAlignment="1">
      <alignment wrapText="1"/>
    </xf>
    <xf numFmtId="0" fontId="9" fillId="5" borderId="16" xfId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wrapText="1"/>
    </xf>
    <xf numFmtId="0" fontId="10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21" fillId="9" borderId="17" xfId="1" applyFont="1" applyFill="1" applyBorder="1" applyAlignment="1">
      <alignment horizontal="center" vertical="center" wrapText="1"/>
    </xf>
    <xf numFmtId="0" fontId="21" fillId="9" borderId="18" xfId="1" applyFont="1" applyFill="1" applyBorder="1" applyAlignment="1">
      <alignment horizontal="center" vertical="center" wrapText="1"/>
    </xf>
    <xf numFmtId="0" fontId="21" fillId="9" borderId="19" xfId="1" applyFont="1" applyFill="1" applyBorder="1" applyAlignment="1">
      <alignment horizontal="center" vertical="center" wrapText="1"/>
    </xf>
    <xf numFmtId="0" fontId="21" fillId="9" borderId="1" xfId="1" applyFont="1" applyFill="1" applyBorder="1" applyAlignment="1">
      <alignment horizontal="center" vertical="center" wrapText="1"/>
    </xf>
    <xf numFmtId="0" fontId="21" fillId="9" borderId="2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3" xfId="1" applyFont="1" applyFill="1" applyBorder="1" applyAlignment="1">
      <alignment horizontal="right" vertical="center" wrapText="1"/>
    </xf>
    <xf numFmtId="0" fontId="3" fillId="3" borderId="4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1" fillId="9" borderId="6" xfId="1" applyFont="1" applyFill="1" applyBorder="1" applyAlignment="1">
      <alignment horizontal="center" vertical="center" wrapText="1"/>
    </xf>
    <xf numFmtId="0" fontId="21" fillId="9" borderId="7" xfId="1" applyFont="1" applyFill="1" applyBorder="1" applyAlignment="1">
      <alignment horizontal="center" vertical="center" wrapText="1"/>
    </xf>
    <xf numFmtId="0" fontId="21" fillId="9" borderId="8" xfId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3" xfId="1" applyFont="1" applyFill="1" applyBorder="1" applyAlignment="1">
      <alignment horizontal="right" vertical="center" wrapText="1"/>
    </xf>
    <xf numFmtId="0" fontId="3" fillId="7" borderId="4" xfId="1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right" vertical="center" wrapText="1"/>
    </xf>
    <xf numFmtId="0" fontId="5" fillId="3" borderId="3" xfId="1" applyFont="1" applyFill="1" applyBorder="1" applyAlignment="1">
      <alignment horizontal="right" vertical="center" wrapText="1"/>
    </xf>
    <xf numFmtId="0" fontId="5" fillId="3" borderId="4" xfId="1" applyFont="1" applyFill="1" applyBorder="1" applyAlignment="1">
      <alignment horizontal="right" vertical="center" wrapText="1"/>
    </xf>
    <xf numFmtId="0" fontId="5" fillId="4" borderId="2" xfId="1" applyFont="1" applyFill="1" applyBorder="1" applyAlignment="1">
      <alignment horizontal="right" vertical="center" wrapText="1"/>
    </xf>
    <xf numFmtId="0" fontId="5" fillId="4" borderId="3" xfId="1" applyFont="1" applyFill="1" applyBorder="1" applyAlignment="1">
      <alignment horizontal="right" vertical="center" wrapText="1"/>
    </xf>
    <xf numFmtId="0" fontId="5" fillId="4" borderId="4" xfId="1" applyFont="1" applyFill="1" applyBorder="1" applyAlignment="1">
      <alignment horizontal="right" vertical="center" wrapText="1"/>
    </xf>
  </cellXfs>
  <cellStyles count="4">
    <cellStyle name="Hyperlink" xfId="3" builtinId="8"/>
    <cellStyle name="Normal" xfId="0" builtinId="0"/>
    <cellStyle name="Normal 2" xfId="2" xr:uid="{73516597-00EC-4F1C-B61A-2EA372DE0196}"/>
    <cellStyle name="Normal 3 2" xfId="1" xr:uid="{17FDC511-6FD0-4EF2-B732-687E5E2DD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BCB0-CE6F-4B5F-9311-5CF2BC244B9E}">
  <sheetPr>
    <pageSetUpPr fitToPage="1"/>
  </sheetPr>
  <dimension ref="A1:DH254"/>
  <sheetViews>
    <sheetView tabSelected="1" topLeftCell="C1" zoomScale="90" zoomScaleNormal="90" workbookViewId="0">
      <pane ySplit="1" topLeftCell="C30" activePane="bottomLeft" state="frozen"/>
      <selection activeCell="C1" sqref="C1"/>
      <selection pane="bottomLeft" activeCell="J228" sqref="J228"/>
    </sheetView>
  </sheetViews>
  <sheetFormatPr defaultRowHeight="15" x14ac:dyDescent="0.2"/>
  <cols>
    <col min="1" max="1" width="11.43359375" customWidth="1"/>
    <col min="2" max="2" width="19.50390625" customWidth="1"/>
    <col min="3" max="3" width="42.375" style="95" customWidth="1"/>
    <col min="4" max="4" width="13.5859375" style="95" customWidth="1"/>
    <col min="5" max="5" width="9.68359375" customWidth="1"/>
    <col min="6" max="6" width="8.609375" customWidth="1"/>
    <col min="7" max="7" width="18.83203125" style="95" customWidth="1"/>
    <col min="8" max="9" width="16.27734375" customWidth="1"/>
    <col min="10" max="10" width="18.29296875" customWidth="1"/>
    <col min="12" max="12" width="17.3515625" customWidth="1"/>
  </cols>
  <sheetData>
    <row r="1" spans="1:12" ht="24.75" x14ac:dyDescent="0.2">
      <c r="A1" s="153" t="s">
        <v>0</v>
      </c>
      <c r="B1" s="153" t="s">
        <v>1</v>
      </c>
      <c r="C1" s="153" t="s">
        <v>2</v>
      </c>
      <c r="D1" s="153" t="s">
        <v>3</v>
      </c>
      <c r="E1" s="154" t="s">
        <v>4</v>
      </c>
      <c r="F1" s="153" t="s">
        <v>5</v>
      </c>
      <c r="G1" s="153" t="s">
        <v>6</v>
      </c>
      <c r="H1" s="153" t="s">
        <v>7</v>
      </c>
      <c r="I1" s="153"/>
      <c r="J1" s="155" t="s">
        <v>8</v>
      </c>
      <c r="K1" s="2"/>
      <c r="L1" s="152"/>
    </row>
    <row r="2" spans="1:12" ht="74.45" customHeight="1" x14ac:dyDescent="0.2"/>
    <row r="3" spans="1:12" ht="60" customHeight="1" x14ac:dyDescent="0.2"/>
    <row r="4" spans="1:12" ht="23.45" customHeight="1" x14ac:dyDescent="0.2">
      <c r="A4" s="1" t="s">
        <v>66</v>
      </c>
      <c r="B4" s="274" t="s">
        <v>170</v>
      </c>
      <c r="C4" s="274"/>
      <c r="D4" s="274"/>
      <c r="E4" s="274"/>
      <c r="F4" s="274"/>
      <c r="G4" s="274"/>
      <c r="H4" s="275"/>
      <c r="I4" s="275"/>
      <c r="J4" s="274"/>
      <c r="K4" s="2"/>
    </row>
    <row r="5" spans="1:12" ht="24.75" x14ac:dyDescent="0.2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3" t="s">
        <v>5</v>
      </c>
      <c r="G5" s="3" t="s">
        <v>6</v>
      </c>
      <c r="H5" s="3" t="s">
        <v>7</v>
      </c>
      <c r="I5" s="3" t="s">
        <v>317</v>
      </c>
      <c r="J5" s="5" t="s">
        <v>8</v>
      </c>
      <c r="K5" s="2"/>
      <c r="L5" s="118" t="s">
        <v>9</v>
      </c>
    </row>
    <row r="6" spans="1:12" x14ac:dyDescent="0.2">
      <c r="A6" s="276"/>
      <c r="B6" s="276"/>
      <c r="C6" s="276"/>
      <c r="D6" s="276"/>
      <c r="E6" s="276"/>
      <c r="F6" s="276"/>
      <c r="G6" s="276"/>
      <c r="H6" s="277"/>
      <c r="I6" s="277"/>
      <c r="J6" s="276"/>
      <c r="K6" s="2"/>
    </row>
    <row r="7" spans="1:12" ht="44.45" customHeight="1" x14ac:dyDescent="0.2">
      <c r="A7" s="6" t="s">
        <v>182</v>
      </c>
      <c r="B7" s="7" t="s">
        <v>11</v>
      </c>
      <c r="C7" s="8" t="s">
        <v>179</v>
      </c>
      <c r="D7" s="9" t="s">
        <v>180</v>
      </c>
      <c r="E7" s="9">
        <v>30</v>
      </c>
      <c r="F7" s="9">
        <v>0</v>
      </c>
      <c r="G7" s="10"/>
      <c r="H7" s="10" t="s">
        <v>181</v>
      </c>
      <c r="I7" s="10" t="s">
        <v>319</v>
      </c>
      <c r="J7" s="8" t="s">
        <v>15</v>
      </c>
      <c r="K7" s="11"/>
    </row>
    <row r="8" spans="1:12" ht="44.45" customHeight="1" x14ac:dyDescent="0.2">
      <c r="A8" s="6" t="s">
        <v>22</v>
      </c>
      <c r="B8" s="7" t="s">
        <v>21</v>
      </c>
      <c r="C8" s="8" t="s">
        <v>146</v>
      </c>
      <c r="D8" s="9" t="s">
        <v>147</v>
      </c>
      <c r="E8" s="9">
        <v>68</v>
      </c>
      <c r="F8" s="9">
        <v>0</v>
      </c>
      <c r="G8" s="8" t="s">
        <v>187</v>
      </c>
      <c r="H8" s="10"/>
      <c r="I8" s="10" t="s">
        <v>318</v>
      </c>
      <c r="J8" s="8" t="s">
        <v>52</v>
      </c>
      <c r="K8" s="11"/>
    </row>
    <row r="9" spans="1:12" ht="39.6" customHeight="1" x14ac:dyDescent="0.2">
      <c r="A9" s="6" t="s">
        <v>26</v>
      </c>
      <c r="B9" s="7" t="s">
        <v>27</v>
      </c>
      <c r="C9" s="8" t="s">
        <v>149</v>
      </c>
      <c r="D9" s="9" t="s">
        <v>150</v>
      </c>
      <c r="E9" s="9">
        <v>0</v>
      </c>
      <c r="F9" s="9">
        <v>0</v>
      </c>
      <c r="G9" s="41"/>
      <c r="H9" s="10"/>
      <c r="I9" s="10"/>
      <c r="J9" s="8" t="s">
        <v>40</v>
      </c>
      <c r="K9" s="11"/>
    </row>
    <row r="10" spans="1:12" ht="40.15" customHeight="1" x14ac:dyDescent="0.2">
      <c r="A10" s="6"/>
      <c r="B10" s="7"/>
      <c r="C10" s="8"/>
      <c r="D10" s="9"/>
      <c r="E10" s="9"/>
      <c r="F10" s="9"/>
      <c r="G10" s="8"/>
      <c r="H10" s="10"/>
      <c r="I10" s="10"/>
      <c r="J10" s="8"/>
      <c r="K10" s="11"/>
    </row>
    <row r="11" spans="1:12" ht="39.6" hidden="1" customHeight="1" x14ac:dyDescent="0.2">
      <c r="A11" s="6"/>
      <c r="B11" s="7"/>
      <c r="C11" s="8"/>
      <c r="D11" s="212"/>
      <c r="E11" s="9"/>
      <c r="F11" s="9"/>
      <c r="G11" s="8"/>
      <c r="H11" s="8"/>
      <c r="I11" s="8"/>
      <c r="J11" s="8"/>
      <c r="K11" s="11"/>
    </row>
    <row r="12" spans="1:12" ht="34.15" hidden="1" customHeight="1" x14ac:dyDescent="0.2">
      <c r="A12" s="6"/>
      <c r="B12" s="7"/>
      <c r="C12" s="8"/>
      <c r="D12" s="9"/>
      <c r="E12" s="9"/>
      <c r="F12" s="9"/>
      <c r="G12" s="8"/>
      <c r="H12" s="10"/>
      <c r="I12" s="10"/>
      <c r="J12" s="8"/>
      <c r="K12" s="11"/>
    </row>
    <row r="13" spans="1:12" ht="32.450000000000003" hidden="1" customHeight="1" x14ac:dyDescent="0.2">
      <c r="A13" s="6" t="s">
        <v>26</v>
      </c>
      <c r="B13" s="7" t="s">
        <v>27</v>
      </c>
      <c r="C13" s="8"/>
      <c r="D13" s="9"/>
      <c r="E13" s="9"/>
      <c r="F13" s="9"/>
      <c r="G13" s="205"/>
      <c r="H13" s="10"/>
      <c r="I13" s="10"/>
      <c r="J13" s="8" t="s">
        <v>15</v>
      </c>
      <c r="K13" s="11"/>
    </row>
    <row r="14" spans="1:12" ht="33.75" hidden="1" customHeight="1" x14ac:dyDescent="0.2">
      <c r="A14" s="6" t="s">
        <v>10</v>
      </c>
      <c r="B14" s="7" t="s">
        <v>19</v>
      </c>
      <c r="C14" s="8"/>
      <c r="D14" s="9"/>
      <c r="E14" s="9"/>
      <c r="F14" s="9"/>
      <c r="G14" s="8"/>
      <c r="H14" s="10"/>
      <c r="I14" s="10"/>
      <c r="J14" s="8" t="s">
        <v>12</v>
      </c>
      <c r="K14" s="11"/>
    </row>
    <row r="15" spans="1:12" ht="38.450000000000003" hidden="1" customHeight="1" x14ac:dyDescent="0.2">
      <c r="A15" s="6" t="s">
        <v>20</v>
      </c>
      <c r="B15" s="7" t="s">
        <v>21</v>
      </c>
      <c r="C15" s="8"/>
      <c r="D15" s="9"/>
      <c r="E15" s="9"/>
      <c r="F15" s="9"/>
      <c r="G15" s="8"/>
      <c r="H15" s="10"/>
      <c r="I15" s="10"/>
      <c r="J15" s="8" t="s">
        <v>15</v>
      </c>
      <c r="K15" s="11"/>
    </row>
    <row r="16" spans="1:12" ht="40.9" hidden="1" customHeight="1" x14ac:dyDescent="0.2">
      <c r="A16" s="6" t="s">
        <v>22</v>
      </c>
      <c r="B16" s="7" t="s">
        <v>21</v>
      </c>
      <c r="C16" s="8"/>
      <c r="D16" s="9"/>
      <c r="E16" s="9"/>
      <c r="F16" s="9"/>
      <c r="G16" s="8"/>
      <c r="H16" s="10"/>
      <c r="I16" s="10"/>
      <c r="J16" s="8" t="s">
        <v>15</v>
      </c>
      <c r="K16" s="11"/>
    </row>
    <row r="17" spans="1:11" ht="35.450000000000003" hidden="1" customHeight="1" x14ac:dyDescent="0.2">
      <c r="A17" s="6" t="s">
        <v>23</v>
      </c>
      <c r="B17" s="7" t="s">
        <v>24</v>
      </c>
      <c r="C17" s="8"/>
      <c r="D17" s="9"/>
      <c r="E17" s="9"/>
      <c r="F17" s="9"/>
      <c r="G17" s="8"/>
      <c r="H17" s="10"/>
      <c r="I17" s="10"/>
      <c r="J17" s="8" t="s">
        <v>25</v>
      </c>
      <c r="K17" s="11"/>
    </row>
    <row r="18" spans="1:11" ht="35.450000000000003" hidden="1" customHeight="1" x14ac:dyDescent="0.2">
      <c r="A18" s="6" t="s">
        <v>26</v>
      </c>
      <c r="B18" s="7" t="s">
        <v>27</v>
      </c>
      <c r="C18" s="8"/>
      <c r="D18" s="9"/>
      <c r="E18" s="9"/>
      <c r="F18" s="9"/>
      <c r="G18" s="8"/>
      <c r="H18" s="10"/>
      <c r="I18" s="10"/>
      <c r="J18" s="8" t="s">
        <v>15</v>
      </c>
      <c r="K18" s="11"/>
    </row>
    <row r="19" spans="1:11" ht="33" hidden="1" customHeight="1" x14ac:dyDescent="0.2">
      <c r="A19" s="6" t="s">
        <v>28</v>
      </c>
      <c r="B19" s="7" t="s">
        <v>29</v>
      </c>
      <c r="C19" s="8"/>
      <c r="D19" s="9"/>
      <c r="E19" s="9"/>
      <c r="F19" s="9"/>
      <c r="G19" s="8"/>
      <c r="H19" s="10"/>
      <c r="I19" s="10"/>
      <c r="J19" s="8" t="s">
        <v>25</v>
      </c>
      <c r="K19" s="11"/>
    </row>
    <row r="20" spans="1:11" ht="33" hidden="1" customHeight="1" x14ac:dyDescent="0.2">
      <c r="A20" s="6" t="s">
        <v>30</v>
      </c>
      <c r="B20" s="7" t="s">
        <v>31</v>
      </c>
      <c r="C20" s="8"/>
      <c r="D20" s="9"/>
      <c r="E20" s="9"/>
      <c r="F20" s="9"/>
      <c r="G20" s="8"/>
      <c r="H20" s="10"/>
      <c r="I20" s="10"/>
      <c r="J20" s="8" t="s">
        <v>25</v>
      </c>
      <c r="K20" s="11"/>
    </row>
    <row r="21" spans="1:11" x14ac:dyDescent="0.2">
      <c r="A21" s="6"/>
      <c r="B21" s="7"/>
      <c r="C21" s="8"/>
      <c r="D21" s="9"/>
      <c r="E21" s="9"/>
      <c r="F21" s="9"/>
      <c r="G21" s="8"/>
      <c r="H21" s="10"/>
      <c r="I21" s="10"/>
      <c r="J21" s="8"/>
      <c r="K21" s="11"/>
    </row>
    <row r="22" spans="1:11" x14ac:dyDescent="0.2">
      <c r="A22" s="278" t="s">
        <v>32</v>
      </c>
      <c r="B22" s="279"/>
      <c r="C22" s="279"/>
      <c r="D22" s="280"/>
      <c r="E22" s="15">
        <f>SUM(E7:E21)</f>
        <v>98</v>
      </c>
      <c r="F22" s="16">
        <f>SUM(F7:F21)</f>
        <v>0</v>
      </c>
      <c r="G22" s="96"/>
      <c r="H22" s="18"/>
      <c r="I22" s="18"/>
      <c r="J22" s="19"/>
      <c r="K22" s="20"/>
    </row>
    <row r="23" spans="1:11" x14ac:dyDescent="0.2">
      <c r="A23" s="2"/>
      <c r="B23" s="21"/>
      <c r="C23" s="21"/>
      <c r="D23" s="101"/>
      <c r="E23" s="22"/>
      <c r="F23" s="22"/>
      <c r="G23" s="21"/>
      <c r="H23" s="2"/>
      <c r="I23" s="2"/>
      <c r="J23" s="21"/>
      <c r="K23" s="2"/>
    </row>
    <row r="24" spans="1:11" x14ac:dyDescent="0.2">
      <c r="A24" s="281" t="s">
        <v>33</v>
      </c>
      <c r="B24" s="282"/>
      <c r="C24" s="282"/>
      <c r="D24" s="282"/>
      <c r="E24" s="282"/>
      <c r="F24" s="282"/>
      <c r="G24" s="282"/>
      <c r="H24" s="282"/>
      <c r="I24" s="282"/>
      <c r="J24" s="283"/>
      <c r="K24" s="20"/>
    </row>
    <row r="25" spans="1:11" x14ac:dyDescent="0.2">
      <c r="A25" s="23" t="s">
        <v>34</v>
      </c>
      <c r="B25" s="23" t="s">
        <v>35</v>
      </c>
      <c r="C25" s="24"/>
      <c r="D25" s="97"/>
      <c r="E25" s="25" t="s">
        <v>36</v>
      </c>
      <c r="F25" s="25" t="s">
        <v>36</v>
      </c>
      <c r="G25" s="97" t="s">
        <v>36</v>
      </c>
      <c r="H25" s="25" t="s">
        <v>36</v>
      </c>
      <c r="I25" s="25"/>
      <c r="J25" s="25" t="s">
        <v>36</v>
      </c>
      <c r="K25" s="20"/>
    </row>
    <row r="26" spans="1:11" ht="29.45" customHeight="1" x14ac:dyDescent="0.2">
      <c r="A26" s="6" t="s">
        <v>10</v>
      </c>
      <c r="B26" s="7" t="s">
        <v>121</v>
      </c>
      <c r="C26" s="8" t="s">
        <v>183</v>
      </c>
      <c r="D26" s="9" t="s">
        <v>184</v>
      </c>
      <c r="E26" s="28"/>
      <c r="F26" s="28">
        <v>0</v>
      </c>
      <c r="G26" s="47"/>
      <c r="H26" s="199"/>
      <c r="I26" s="199"/>
      <c r="J26" s="8" t="s">
        <v>40</v>
      </c>
      <c r="K26" s="20"/>
    </row>
    <row r="27" spans="1:11" ht="35.450000000000003" customHeight="1" x14ac:dyDescent="0.2">
      <c r="A27" s="6" t="s">
        <v>43</v>
      </c>
      <c r="B27" s="7" t="s">
        <v>18</v>
      </c>
      <c r="C27" s="8" t="s">
        <v>185</v>
      </c>
      <c r="D27" s="9" t="s">
        <v>145</v>
      </c>
      <c r="E27" s="9">
        <v>12</v>
      </c>
      <c r="F27" s="9">
        <v>0</v>
      </c>
      <c r="G27" s="8"/>
      <c r="H27" s="10"/>
      <c r="I27" s="10"/>
      <c r="J27" s="8" t="s">
        <v>40</v>
      </c>
      <c r="K27" s="11"/>
    </row>
    <row r="28" spans="1:11" ht="36.75" customHeight="1" x14ac:dyDescent="0.2">
      <c r="A28" s="6" t="s">
        <v>10</v>
      </c>
      <c r="B28" s="7" t="s">
        <v>125</v>
      </c>
      <c r="C28" s="8" t="s">
        <v>128</v>
      </c>
      <c r="D28" s="9" t="s">
        <v>140</v>
      </c>
      <c r="E28" s="9">
        <v>5</v>
      </c>
      <c r="F28" s="28">
        <v>0</v>
      </c>
      <c r="G28" s="8"/>
      <c r="H28" s="10"/>
      <c r="I28" s="10"/>
      <c r="J28" s="8" t="s">
        <v>40</v>
      </c>
      <c r="K28" s="11"/>
    </row>
    <row r="29" spans="1:11" ht="30" customHeight="1" x14ac:dyDescent="0.2">
      <c r="A29" s="6" t="s">
        <v>41</v>
      </c>
      <c r="B29" s="7" t="s">
        <v>29</v>
      </c>
      <c r="C29" s="8" t="s">
        <v>129</v>
      </c>
      <c r="D29" s="9" t="s">
        <v>130</v>
      </c>
      <c r="E29" s="9">
        <v>8</v>
      </c>
      <c r="F29" s="28">
        <v>0</v>
      </c>
      <c r="G29" s="8"/>
      <c r="H29" s="10"/>
      <c r="I29" s="10"/>
      <c r="J29" s="8" t="s">
        <v>40</v>
      </c>
      <c r="K29" s="11"/>
    </row>
    <row r="30" spans="1:11" ht="23.45" hidden="1" customHeight="1" x14ac:dyDescent="0.2">
      <c r="A30" s="6"/>
      <c r="B30" s="7"/>
      <c r="C30" s="8"/>
      <c r="D30" s="9"/>
      <c r="E30" s="28"/>
      <c r="F30" s="28"/>
      <c r="G30" s="8"/>
      <c r="H30" s="10"/>
      <c r="I30" s="10"/>
      <c r="J30" s="8"/>
      <c r="K30" s="11"/>
    </row>
    <row r="31" spans="1:11" ht="25.9" hidden="1" customHeight="1" x14ac:dyDescent="0.2">
      <c r="A31" s="6" t="s">
        <v>44</v>
      </c>
      <c r="B31" s="7" t="s">
        <v>45</v>
      </c>
      <c r="C31" s="8"/>
      <c r="D31" s="9"/>
      <c r="E31" s="9"/>
      <c r="F31" s="28"/>
      <c r="G31" s="8"/>
      <c r="H31" s="10"/>
      <c r="I31" s="10"/>
      <c r="J31" s="8" t="s">
        <v>40</v>
      </c>
      <c r="K31" s="11"/>
    </row>
    <row r="32" spans="1:11" ht="22.9" hidden="1" customHeight="1" x14ac:dyDescent="0.2">
      <c r="A32" s="6" t="s">
        <v>41</v>
      </c>
      <c r="B32" s="7" t="s">
        <v>45</v>
      </c>
      <c r="C32" s="8"/>
      <c r="D32" s="9"/>
      <c r="E32" s="9"/>
      <c r="F32" s="9"/>
      <c r="G32" s="8"/>
      <c r="H32" s="10"/>
      <c r="I32" s="10"/>
      <c r="J32" s="8" t="s">
        <v>40</v>
      </c>
      <c r="K32" s="11"/>
    </row>
    <row r="33" spans="1:40" hidden="1" x14ac:dyDescent="0.2">
      <c r="A33" s="6"/>
      <c r="B33" s="7"/>
      <c r="C33" s="8"/>
      <c r="D33" s="9"/>
      <c r="E33" s="9"/>
      <c r="F33" s="9"/>
      <c r="G33" s="8"/>
      <c r="H33" s="10"/>
      <c r="I33" s="10"/>
      <c r="J33" s="8"/>
      <c r="K33" s="11"/>
    </row>
    <row r="34" spans="1:40" ht="22.5" x14ac:dyDescent="0.2">
      <c r="A34" s="6" t="s">
        <v>10</v>
      </c>
      <c r="B34" s="7" t="s">
        <v>37</v>
      </c>
      <c r="C34" s="8" t="s">
        <v>188</v>
      </c>
      <c r="D34" s="9" t="s">
        <v>132</v>
      </c>
      <c r="E34" s="9">
        <v>17</v>
      </c>
      <c r="F34" s="9">
        <v>0</v>
      </c>
      <c r="G34" s="8"/>
      <c r="H34" s="10"/>
      <c r="I34" s="10" t="s">
        <v>320</v>
      </c>
      <c r="J34" s="8" t="s">
        <v>189</v>
      </c>
      <c r="K34" s="11"/>
    </row>
    <row r="35" spans="1:40" ht="22.5" x14ac:dyDescent="0.2">
      <c r="A35" s="6" t="s">
        <v>191</v>
      </c>
      <c r="B35" s="7" t="s">
        <v>152</v>
      </c>
      <c r="C35" s="8" t="s">
        <v>190</v>
      </c>
      <c r="D35" s="9" t="s">
        <v>132</v>
      </c>
      <c r="E35" s="9">
        <v>0</v>
      </c>
      <c r="F35" s="9">
        <v>0</v>
      </c>
      <c r="G35" s="8"/>
      <c r="H35" s="10"/>
      <c r="I35" s="10"/>
      <c r="J35" s="8"/>
      <c r="K35" s="11"/>
    </row>
    <row r="36" spans="1:40" x14ac:dyDescent="0.2">
      <c r="A36" s="6" t="s">
        <v>194</v>
      </c>
      <c r="B36" s="7" t="s">
        <v>193</v>
      </c>
      <c r="C36" s="8" t="s">
        <v>192</v>
      </c>
      <c r="D36" s="9" t="s">
        <v>67</v>
      </c>
      <c r="E36" s="9"/>
      <c r="F36" s="9"/>
      <c r="G36" s="8"/>
      <c r="H36" s="10"/>
      <c r="I36" s="10"/>
      <c r="J36" s="8"/>
      <c r="K36" s="11"/>
    </row>
    <row r="37" spans="1:40" x14ac:dyDescent="0.2">
      <c r="A37" s="6" t="s">
        <v>196</v>
      </c>
      <c r="B37" s="7" t="s">
        <v>58</v>
      </c>
      <c r="C37" s="8" t="s">
        <v>195</v>
      </c>
      <c r="D37" s="9" t="s">
        <v>197</v>
      </c>
      <c r="E37" s="9">
        <v>8</v>
      </c>
      <c r="F37" s="9">
        <v>0</v>
      </c>
      <c r="G37" s="8"/>
      <c r="H37" s="10"/>
      <c r="I37" s="10"/>
      <c r="J37" s="8"/>
      <c r="K37" s="11"/>
    </row>
    <row r="38" spans="1:40" x14ac:dyDescent="0.2">
      <c r="A38" s="6"/>
      <c r="B38" s="7"/>
      <c r="C38" s="8"/>
      <c r="D38" s="9"/>
      <c r="E38" s="9"/>
      <c r="F38" s="9"/>
      <c r="G38" s="8"/>
      <c r="H38" s="10"/>
      <c r="I38" s="10"/>
      <c r="J38" s="8"/>
      <c r="K38" s="11"/>
    </row>
    <row r="39" spans="1:40" x14ac:dyDescent="0.2">
      <c r="A39" s="30"/>
      <c r="B39" s="31"/>
      <c r="C39" s="12" t="s">
        <v>32</v>
      </c>
      <c r="D39" s="32"/>
      <c r="E39" s="121">
        <f>SUM(E26:E38)</f>
        <v>50</v>
      </c>
      <c r="F39" s="121">
        <f>SUM(F26:F30)</f>
        <v>0</v>
      </c>
      <c r="G39" s="33"/>
      <c r="H39" s="34"/>
      <c r="I39" s="34"/>
      <c r="J39" s="33"/>
      <c r="K39" s="11"/>
    </row>
    <row r="40" spans="1:40" ht="25.15" customHeight="1" thickBot="1" x14ac:dyDescent="0.25">
      <c r="A40" s="35" t="s">
        <v>46</v>
      </c>
      <c r="B40" s="284" t="s">
        <v>171</v>
      </c>
      <c r="C40" s="285"/>
      <c r="D40" s="285"/>
      <c r="E40" s="285"/>
      <c r="F40" s="285"/>
      <c r="G40" s="285"/>
      <c r="H40" s="285"/>
      <c r="I40" s="285"/>
      <c r="J40" s="286"/>
      <c r="K40" s="20"/>
    </row>
    <row r="41" spans="1:40" ht="24.75" x14ac:dyDescent="0.2">
      <c r="A41" s="36" t="s">
        <v>0</v>
      </c>
      <c r="B41" s="36" t="s">
        <v>1</v>
      </c>
      <c r="C41" s="36" t="s">
        <v>2</v>
      </c>
      <c r="D41" s="36" t="s">
        <v>47</v>
      </c>
      <c r="E41" s="3" t="s">
        <v>4</v>
      </c>
      <c r="F41" s="3" t="s">
        <v>5</v>
      </c>
      <c r="G41" s="3" t="s">
        <v>6</v>
      </c>
      <c r="H41" s="37" t="s">
        <v>48</v>
      </c>
      <c r="I41" s="269"/>
      <c r="J41" s="38" t="s">
        <v>8</v>
      </c>
      <c r="K41" s="20"/>
    </row>
    <row r="42" spans="1:40" x14ac:dyDescent="0.2">
      <c r="A42" s="287" t="s">
        <v>49</v>
      </c>
      <c r="B42" s="288"/>
      <c r="C42" s="288"/>
      <c r="D42" s="288"/>
      <c r="E42" s="288"/>
      <c r="F42" s="288"/>
      <c r="G42" s="288"/>
      <c r="H42" s="288"/>
      <c r="I42" s="288"/>
      <c r="J42" s="289"/>
      <c r="K42" s="20"/>
    </row>
    <row r="43" spans="1:40" ht="42" customHeight="1" x14ac:dyDescent="0.2">
      <c r="A43" s="6" t="s">
        <v>199</v>
      </c>
      <c r="B43" s="7" t="s">
        <v>14</v>
      </c>
      <c r="C43" s="188" t="s">
        <v>134</v>
      </c>
      <c r="D43" s="9" t="s">
        <v>133</v>
      </c>
      <c r="E43" s="9">
        <v>0</v>
      </c>
      <c r="F43" s="9">
        <v>30</v>
      </c>
      <c r="G43" s="8"/>
      <c r="H43" s="10"/>
      <c r="I43" s="10"/>
      <c r="J43" s="8" t="s">
        <v>40</v>
      </c>
      <c r="K43" s="11"/>
      <c r="AN43" t="s">
        <v>101</v>
      </c>
    </row>
    <row r="44" spans="1:40" ht="42" customHeight="1" x14ac:dyDescent="0.2">
      <c r="A44" s="6" t="s">
        <v>203</v>
      </c>
      <c r="B44" s="7" t="s">
        <v>17</v>
      </c>
      <c r="C44" s="8" t="s">
        <v>200</v>
      </c>
      <c r="D44" s="212" t="s">
        <v>201</v>
      </c>
      <c r="E44" s="9">
        <v>15</v>
      </c>
      <c r="F44" s="9">
        <v>0</v>
      </c>
      <c r="G44" s="10"/>
      <c r="H44" s="8"/>
      <c r="I44" s="8" t="s">
        <v>320</v>
      </c>
      <c r="J44" s="8" t="s">
        <v>202</v>
      </c>
      <c r="K44" s="11"/>
    </row>
    <row r="45" spans="1:40" ht="35.450000000000003" customHeight="1" x14ac:dyDescent="0.2">
      <c r="A45" s="6" t="s">
        <v>60</v>
      </c>
      <c r="B45" s="7" t="s">
        <v>17</v>
      </c>
      <c r="C45" s="218" t="s">
        <v>124</v>
      </c>
      <c r="D45" s="29" t="s">
        <v>133</v>
      </c>
      <c r="E45" s="9">
        <v>0</v>
      </c>
      <c r="F45" s="9">
        <v>30</v>
      </c>
      <c r="G45" s="8"/>
      <c r="H45" s="10"/>
      <c r="I45" s="10"/>
      <c r="J45" s="8" t="s">
        <v>40</v>
      </c>
      <c r="K45" s="11"/>
    </row>
    <row r="46" spans="1:40" ht="35.450000000000003" customHeight="1" x14ac:dyDescent="0.2">
      <c r="A46" s="6" t="s">
        <v>182</v>
      </c>
      <c r="B46" s="7" t="s">
        <v>19</v>
      </c>
      <c r="C46" s="221" t="s">
        <v>204</v>
      </c>
      <c r="D46" s="29" t="s">
        <v>180</v>
      </c>
      <c r="E46" s="9">
        <v>30</v>
      </c>
      <c r="F46" s="9">
        <v>0</v>
      </c>
      <c r="G46" s="213"/>
      <c r="H46" s="8"/>
      <c r="I46" s="8" t="s">
        <v>321</v>
      </c>
      <c r="J46" s="8" t="s">
        <v>52</v>
      </c>
      <c r="K46" s="11"/>
    </row>
    <row r="47" spans="1:40" ht="35.450000000000003" customHeight="1" x14ac:dyDescent="0.2">
      <c r="A47" s="6" t="s">
        <v>22</v>
      </c>
      <c r="B47" s="7" t="s">
        <v>19</v>
      </c>
      <c r="C47" s="221" t="s">
        <v>165</v>
      </c>
      <c r="D47" s="29" t="s">
        <v>147</v>
      </c>
      <c r="E47" s="9">
        <v>54</v>
      </c>
      <c r="F47" s="9">
        <v>0</v>
      </c>
      <c r="G47" s="216" t="s">
        <v>187</v>
      </c>
      <c r="H47" s="8"/>
      <c r="I47" s="8" t="s">
        <v>322</v>
      </c>
      <c r="J47" s="8" t="s">
        <v>52</v>
      </c>
      <c r="K47" s="11"/>
    </row>
    <row r="48" spans="1:40" ht="33" customHeight="1" x14ac:dyDescent="0.2">
      <c r="A48" s="6" t="s">
        <v>72</v>
      </c>
      <c r="B48" s="7" t="s">
        <v>21</v>
      </c>
      <c r="C48" s="41" t="s">
        <v>205</v>
      </c>
      <c r="D48" s="29" t="s">
        <v>206</v>
      </c>
      <c r="E48" s="9">
        <v>20</v>
      </c>
      <c r="F48" s="9">
        <v>0</v>
      </c>
      <c r="G48" s="41"/>
      <c r="H48" s="10"/>
      <c r="I48" s="10" t="s">
        <v>318</v>
      </c>
      <c r="J48" s="8" t="s">
        <v>15</v>
      </c>
      <c r="K48" s="11"/>
    </row>
    <row r="49" spans="1:11" ht="30" customHeight="1" x14ac:dyDescent="0.2">
      <c r="A49" s="6" t="s">
        <v>28</v>
      </c>
      <c r="B49" s="7" t="s">
        <v>27</v>
      </c>
      <c r="C49" s="8" t="s">
        <v>142</v>
      </c>
      <c r="D49" s="212" t="s">
        <v>143</v>
      </c>
      <c r="E49" s="9">
        <v>0</v>
      </c>
      <c r="F49" s="9">
        <v>60</v>
      </c>
      <c r="G49" s="10"/>
      <c r="H49" s="10"/>
      <c r="I49" s="10" t="s">
        <v>322</v>
      </c>
      <c r="J49" s="8" t="s">
        <v>253</v>
      </c>
      <c r="K49" s="11"/>
    </row>
    <row r="50" spans="1:11" ht="30" customHeight="1" x14ac:dyDescent="0.2">
      <c r="A50" s="6"/>
      <c r="B50" s="7"/>
      <c r="C50" s="8"/>
      <c r="D50" s="212"/>
      <c r="E50" s="9"/>
      <c r="F50" s="9"/>
      <c r="G50" s="8"/>
      <c r="H50" s="10"/>
      <c r="I50" s="10"/>
      <c r="J50" s="8"/>
      <c r="K50" s="11"/>
    </row>
    <row r="51" spans="1:11" ht="28.9" hidden="1" customHeight="1" x14ac:dyDescent="0.2">
      <c r="A51" s="6"/>
      <c r="B51" s="7"/>
      <c r="C51" s="8"/>
      <c r="D51" s="9"/>
      <c r="E51" s="9"/>
      <c r="F51" s="9"/>
      <c r="G51" s="210"/>
      <c r="H51" s="10"/>
      <c r="I51" s="10"/>
      <c r="J51" s="8"/>
      <c r="K51" s="11"/>
    </row>
    <row r="52" spans="1:11" ht="30" hidden="1" customHeight="1" x14ac:dyDescent="0.2">
      <c r="A52" s="6" t="s">
        <v>28</v>
      </c>
      <c r="B52" s="7" t="s">
        <v>27</v>
      </c>
      <c r="C52" s="8"/>
      <c r="D52" s="9"/>
      <c r="E52" s="9"/>
      <c r="F52" s="207"/>
      <c r="G52" s="209"/>
      <c r="H52" s="208"/>
      <c r="I52" s="208"/>
      <c r="J52" s="8" t="s">
        <v>112</v>
      </c>
      <c r="K52" s="11"/>
    </row>
    <row r="53" spans="1:11" ht="31.9" hidden="1" customHeight="1" x14ac:dyDescent="0.2">
      <c r="A53" s="6" t="s">
        <v>50</v>
      </c>
      <c r="B53" s="7" t="s">
        <v>37</v>
      </c>
      <c r="C53" s="8"/>
      <c r="D53" s="9"/>
      <c r="E53" s="9"/>
      <c r="F53" s="9"/>
      <c r="G53" s="206"/>
      <c r="H53" s="10"/>
      <c r="I53" s="10"/>
      <c r="J53" s="8" t="s">
        <v>15</v>
      </c>
      <c r="K53" s="11"/>
    </row>
    <row r="54" spans="1:11" ht="28.9" hidden="1" customHeight="1" x14ac:dyDescent="0.2">
      <c r="A54" s="6" t="s">
        <v>16</v>
      </c>
      <c r="B54" s="7" t="s">
        <v>51</v>
      </c>
      <c r="C54" s="8"/>
      <c r="D54" s="9"/>
      <c r="E54" s="9"/>
      <c r="F54" s="9"/>
      <c r="G54" s="10"/>
      <c r="H54" s="10"/>
      <c r="I54" s="10"/>
      <c r="J54" s="8" t="s">
        <v>52</v>
      </c>
      <c r="K54" s="11"/>
    </row>
    <row r="55" spans="1:11" ht="28.9" hidden="1" customHeight="1" x14ac:dyDescent="0.2">
      <c r="A55" s="6" t="s">
        <v>23</v>
      </c>
      <c r="B55" s="7" t="s">
        <v>24</v>
      </c>
      <c r="C55" s="8"/>
      <c r="D55" s="9"/>
      <c r="E55" s="9"/>
      <c r="F55" s="9"/>
      <c r="G55" s="10"/>
      <c r="H55" s="10"/>
      <c r="I55" s="10"/>
      <c r="J55" s="8" t="s">
        <v>15</v>
      </c>
      <c r="K55" s="11"/>
    </row>
    <row r="56" spans="1:11" ht="29.45" hidden="1" customHeight="1" x14ac:dyDescent="0.2">
      <c r="A56" s="6" t="s">
        <v>23</v>
      </c>
      <c r="B56" s="7" t="s">
        <v>42</v>
      </c>
      <c r="C56" s="8"/>
      <c r="D56" s="9"/>
      <c r="E56" s="9"/>
      <c r="F56" s="9"/>
      <c r="G56" s="8"/>
      <c r="H56" s="10"/>
      <c r="I56" s="10"/>
      <c r="J56" s="8" t="s">
        <v>38</v>
      </c>
      <c r="K56" s="11"/>
    </row>
    <row r="57" spans="1:11" ht="32.450000000000003" hidden="1" customHeight="1" x14ac:dyDescent="0.2">
      <c r="A57" s="6" t="s">
        <v>53</v>
      </c>
      <c r="B57" s="7" t="s">
        <v>31</v>
      </c>
      <c r="C57" s="8"/>
      <c r="D57" s="9"/>
      <c r="E57" s="9"/>
      <c r="F57" s="9"/>
      <c r="G57" s="8"/>
      <c r="H57" s="10"/>
      <c r="I57" s="10"/>
      <c r="J57" s="8" t="s">
        <v>38</v>
      </c>
      <c r="K57" s="11"/>
    </row>
    <row r="58" spans="1:11" ht="33" hidden="1" customHeight="1" x14ac:dyDescent="0.2">
      <c r="A58" s="6" t="s">
        <v>28</v>
      </c>
      <c r="B58" s="7" t="s">
        <v>27</v>
      </c>
      <c r="C58" s="8"/>
      <c r="D58" s="9"/>
      <c r="E58" s="9"/>
      <c r="F58" s="9"/>
      <c r="G58" s="8"/>
      <c r="H58" s="10"/>
      <c r="I58" s="10"/>
      <c r="J58" s="8" t="s">
        <v>38</v>
      </c>
      <c r="K58" s="11"/>
    </row>
    <row r="59" spans="1:11" ht="32.450000000000003" hidden="1" customHeight="1" x14ac:dyDescent="0.2">
      <c r="A59" s="6" t="s">
        <v>28</v>
      </c>
      <c r="B59" s="7" t="s">
        <v>27</v>
      </c>
      <c r="C59" s="8"/>
      <c r="D59" s="9"/>
      <c r="E59" s="9"/>
      <c r="F59" s="9"/>
      <c r="G59" s="8"/>
      <c r="H59" s="10"/>
      <c r="I59" s="10"/>
      <c r="J59" s="8" t="s">
        <v>52</v>
      </c>
      <c r="K59" s="11"/>
    </row>
    <row r="60" spans="1:11" ht="29.45" hidden="1" customHeight="1" x14ac:dyDescent="0.2">
      <c r="A60" s="6" t="s">
        <v>10</v>
      </c>
      <c r="B60" s="7" t="s">
        <v>39</v>
      </c>
      <c r="C60" s="8"/>
      <c r="D60" s="9"/>
      <c r="E60" s="9"/>
      <c r="F60" s="9"/>
      <c r="G60" s="8"/>
      <c r="H60" s="10"/>
      <c r="I60" s="10"/>
      <c r="J60" s="8" t="s">
        <v>15</v>
      </c>
      <c r="K60" s="11"/>
    </row>
    <row r="61" spans="1:11" ht="27.6" hidden="1" customHeight="1" x14ac:dyDescent="0.2">
      <c r="A61" s="6" t="s">
        <v>28</v>
      </c>
      <c r="B61" s="7" t="s">
        <v>27</v>
      </c>
      <c r="C61" s="40"/>
      <c r="D61" s="9"/>
      <c r="E61" s="9"/>
      <c r="F61" s="9"/>
      <c r="G61" s="8"/>
      <c r="H61" s="10"/>
      <c r="I61" s="10"/>
      <c r="J61" s="8" t="s">
        <v>52</v>
      </c>
      <c r="K61" s="11"/>
    </row>
    <row r="62" spans="1:11" ht="27" hidden="1" customHeight="1" x14ac:dyDescent="0.2">
      <c r="A62" s="6" t="s">
        <v>54</v>
      </c>
      <c r="B62" s="39" t="s">
        <v>55</v>
      </c>
      <c r="C62" s="8"/>
      <c r="D62" s="9"/>
      <c r="E62" s="9"/>
      <c r="F62" s="9"/>
      <c r="G62" s="8"/>
      <c r="H62" s="10"/>
      <c r="I62" s="10"/>
      <c r="J62" s="8" t="s">
        <v>52</v>
      </c>
      <c r="K62" s="20"/>
    </row>
    <row r="63" spans="1:11" hidden="1" x14ac:dyDescent="0.2">
      <c r="A63" s="6"/>
      <c r="B63" s="7"/>
      <c r="C63" s="8"/>
      <c r="D63" s="9"/>
      <c r="E63" s="9"/>
      <c r="F63" s="9"/>
      <c r="G63" s="8"/>
      <c r="H63" s="10"/>
      <c r="I63" s="10"/>
      <c r="J63" s="8"/>
      <c r="K63" s="11"/>
    </row>
    <row r="64" spans="1:11" hidden="1" x14ac:dyDescent="0.2">
      <c r="A64" s="6"/>
      <c r="B64" s="7"/>
      <c r="C64" s="40"/>
      <c r="D64" s="9"/>
      <c r="E64" s="9"/>
      <c r="F64" s="9"/>
      <c r="G64" s="8"/>
      <c r="H64" s="10"/>
      <c r="I64" s="10"/>
      <c r="J64" s="8"/>
      <c r="K64" s="11"/>
    </row>
    <row r="65" spans="1:40" x14ac:dyDescent="0.2">
      <c r="A65" s="6"/>
      <c r="B65" s="7"/>
      <c r="C65" s="8"/>
      <c r="D65" s="9"/>
      <c r="E65" s="9"/>
      <c r="F65" s="9"/>
      <c r="G65" s="8"/>
      <c r="H65" s="8"/>
      <c r="I65" s="8"/>
      <c r="J65" s="8"/>
      <c r="K65" s="11"/>
    </row>
    <row r="66" spans="1:40" ht="12" customHeight="1" x14ac:dyDescent="0.2">
      <c r="A66" s="278" t="s">
        <v>32</v>
      </c>
      <c r="B66" s="279"/>
      <c r="C66" s="279"/>
      <c r="D66" s="280"/>
      <c r="E66" s="15">
        <f>SUM(E43:E65)</f>
        <v>119</v>
      </c>
      <c r="F66" s="16">
        <f>SUM(F43:F65)</f>
        <v>120</v>
      </c>
      <c r="G66" s="96"/>
      <c r="H66" s="18"/>
      <c r="I66" s="18"/>
      <c r="J66" s="19"/>
      <c r="K66" s="20"/>
    </row>
    <row r="67" spans="1:40" x14ac:dyDescent="0.2">
      <c r="A67" s="281" t="s">
        <v>33</v>
      </c>
      <c r="B67" s="282"/>
      <c r="C67" s="282"/>
      <c r="D67" s="282"/>
      <c r="E67" s="282"/>
      <c r="F67" s="282"/>
      <c r="G67" s="282"/>
      <c r="H67" s="282"/>
      <c r="I67" s="282"/>
      <c r="J67" s="283"/>
      <c r="K67" s="20"/>
    </row>
    <row r="68" spans="1:40" x14ac:dyDescent="0.2">
      <c r="A68" s="23" t="s">
        <v>34</v>
      </c>
      <c r="B68" s="42" t="s">
        <v>35</v>
      </c>
      <c r="C68" s="42"/>
      <c r="D68" s="100"/>
      <c r="E68" s="43"/>
      <c r="F68" s="42"/>
      <c r="G68" s="42"/>
      <c r="H68" s="42"/>
      <c r="I68" s="42"/>
      <c r="J68" s="42"/>
      <c r="K68" s="20"/>
    </row>
    <row r="69" spans="1:40" x14ac:dyDescent="0.2">
      <c r="A69" s="6" t="s">
        <v>13</v>
      </c>
      <c r="B69" s="39" t="s">
        <v>121</v>
      </c>
      <c r="C69" s="41"/>
      <c r="D69" s="212"/>
      <c r="E69" s="9"/>
      <c r="F69" s="245"/>
      <c r="G69" s="246"/>
      <c r="H69" s="246"/>
      <c r="I69" s="246"/>
      <c r="J69" s="245"/>
      <c r="K69" s="20"/>
    </row>
    <row r="70" spans="1:40" ht="51" customHeight="1" x14ac:dyDescent="0.2">
      <c r="A70" s="6" t="s">
        <v>194</v>
      </c>
      <c r="B70" s="7" t="s">
        <v>193</v>
      </c>
      <c r="C70" s="8" t="s">
        <v>215</v>
      </c>
      <c r="D70" s="212" t="s">
        <v>67</v>
      </c>
      <c r="E70" s="9">
        <v>0</v>
      </c>
      <c r="F70" s="9">
        <v>0</v>
      </c>
      <c r="G70" s="10"/>
      <c r="H70" s="10" t="s">
        <v>51</v>
      </c>
      <c r="I70" s="10"/>
      <c r="J70" s="8"/>
      <c r="K70" s="11"/>
    </row>
    <row r="71" spans="1:40" ht="47.25" customHeight="1" x14ac:dyDescent="0.2">
      <c r="A71" s="6" t="s">
        <v>208</v>
      </c>
      <c r="B71" s="7" t="s">
        <v>37</v>
      </c>
      <c r="C71" s="8" t="s">
        <v>207</v>
      </c>
      <c r="D71" s="212" t="s">
        <v>209</v>
      </c>
      <c r="E71" s="9">
        <v>10</v>
      </c>
      <c r="F71" s="9">
        <v>0</v>
      </c>
      <c r="G71" s="10"/>
      <c r="H71" s="10"/>
      <c r="I71" s="10" t="s">
        <v>323</v>
      </c>
      <c r="J71" s="8" t="s">
        <v>210</v>
      </c>
      <c r="K71" s="11"/>
    </row>
    <row r="72" spans="1:40" ht="29.45" customHeight="1" x14ac:dyDescent="0.2">
      <c r="A72" s="6" t="s">
        <v>213</v>
      </c>
      <c r="B72" s="7" t="s">
        <v>212</v>
      </c>
      <c r="C72" s="8" t="s">
        <v>214</v>
      </c>
      <c r="D72" s="9" t="s">
        <v>156</v>
      </c>
      <c r="E72" s="9">
        <v>12</v>
      </c>
      <c r="F72" s="28">
        <v>0</v>
      </c>
      <c r="G72" s="8"/>
      <c r="H72" s="8"/>
      <c r="I72" s="8"/>
      <c r="J72" s="8"/>
      <c r="K72" s="11"/>
      <c r="AB72" t="s">
        <v>102</v>
      </c>
      <c r="AN72" t="s">
        <v>103</v>
      </c>
    </row>
    <row r="73" spans="1:40" ht="29.45" customHeight="1" x14ac:dyDescent="0.2">
      <c r="A73" s="6" t="s">
        <v>108</v>
      </c>
      <c r="B73" s="7" t="s">
        <v>58</v>
      </c>
      <c r="C73" s="8" t="s">
        <v>138</v>
      </c>
      <c r="D73" s="212" t="s">
        <v>130</v>
      </c>
      <c r="E73" s="9">
        <v>15</v>
      </c>
      <c r="F73" s="9">
        <v>0</v>
      </c>
      <c r="G73" s="10"/>
      <c r="H73" s="10"/>
      <c r="I73" s="10"/>
      <c r="J73" s="8"/>
      <c r="K73" s="11"/>
    </row>
    <row r="74" spans="1:40" ht="29.45" customHeight="1" x14ac:dyDescent="0.2">
      <c r="A74" s="6" t="s">
        <v>123</v>
      </c>
      <c r="B74" s="7" t="s">
        <v>58</v>
      </c>
      <c r="C74" s="8" t="s">
        <v>117</v>
      </c>
      <c r="D74" s="212" t="s">
        <v>139</v>
      </c>
      <c r="E74" s="9">
        <v>10</v>
      </c>
      <c r="F74" s="9">
        <v>0</v>
      </c>
      <c r="G74" s="8"/>
      <c r="H74" s="8"/>
      <c r="I74" s="8"/>
      <c r="J74" s="8"/>
      <c r="K74" s="11"/>
    </row>
    <row r="75" spans="1:40" ht="27.75" customHeight="1" x14ac:dyDescent="0.2">
      <c r="A75" s="6" t="s">
        <v>116</v>
      </c>
      <c r="B75" s="7" t="s">
        <v>115</v>
      </c>
      <c r="C75" s="8" t="s">
        <v>114</v>
      </c>
      <c r="D75" s="9" t="s">
        <v>141</v>
      </c>
      <c r="E75" s="9">
        <v>15</v>
      </c>
      <c r="F75" s="9">
        <v>0</v>
      </c>
      <c r="G75" s="8"/>
      <c r="H75" s="8"/>
      <c r="I75" s="8"/>
      <c r="J75" s="8"/>
      <c r="K75" s="11"/>
    </row>
    <row r="76" spans="1:40" ht="38.25" customHeight="1" x14ac:dyDescent="0.2">
      <c r="A76" s="6" t="s">
        <v>10</v>
      </c>
      <c r="B76" s="7" t="s">
        <v>125</v>
      </c>
      <c r="C76" s="8" t="s">
        <v>128</v>
      </c>
      <c r="D76" s="9" t="s">
        <v>140</v>
      </c>
      <c r="E76" s="9">
        <v>5</v>
      </c>
      <c r="F76" s="9">
        <v>0</v>
      </c>
      <c r="G76" s="8"/>
      <c r="H76" s="10"/>
      <c r="I76" s="10"/>
      <c r="J76" s="8"/>
      <c r="K76" s="11"/>
    </row>
    <row r="77" spans="1:40" ht="19.899999999999999" customHeight="1" x14ac:dyDescent="0.2">
      <c r="A77" s="6" t="s">
        <v>311</v>
      </c>
      <c r="B77" s="7" t="s">
        <v>31</v>
      </c>
      <c r="C77" s="8" t="s">
        <v>312</v>
      </c>
      <c r="D77" s="9" t="s">
        <v>313</v>
      </c>
      <c r="E77" s="9">
        <v>20</v>
      </c>
      <c r="F77" s="9"/>
      <c r="G77" s="8"/>
      <c r="H77" s="10"/>
      <c r="I77" s="10" t="s">
        <v>324</v>
      </c>
      <c r="J77" s="8" t="s">
        <v>314</v>
      </c>
      <c r="K77" s="11"/>
    </row>
    <row r="78" spans="1:40" ht="19.899999999999999" hidden="1" customHeight="1" x14ac:dyDescent="0.2">
      <c r="A78" s="6"/>
      <c r="B78" s="7"/>
      <c r="C78" s="8"/>
      <c r="D78" s="9"/>
      <c r="E78" s="9"/>
      <c r="F78" s="9"/>
      <c r="G78" s="8"/>
      <c r="H78" s="10"/>
      <c r="I78" s="10"/>
      <c r="J78" s="8"/>
      <c r="K78" s="11"/>
    </row>
    <row r="79" spans="1:40" x14ac:dyDescent="0.2">
      <c r="A79" s="6"/>
      <c r="B79" s="7"/>
      <c r="C79" s="8"/>
      <c r="D79" s="9"/>
      <c r="E79" s="9"/>
      <c r="F79" s="9"/>
      <c r="G79" s="8"/>
      <c r="H79" s="10"/>
      <c r="I79" s="10"/>
      <c r="J79" s="8"/>
      <c r="K79" s="11"/>
    </row>
    <row r="80" spans="1:40" x14ac:dyDescent="0.2">
      <c r="A80" s="30"/>
      <c r="B80" s="31"/>
      <c r="C80" s="12" t="s">
        <v>32</v>
      </c>
      <c r="D80" s="32"/>
      <c r="E80" s="121">
        <f>SUM(E70:E79)</f>
        <v>87</v>
      </c>
      <c r="F80" s="121">
        <f>SUM(F70:F79)</f>
        <v>0</v>
      </c>
      <c r="G80" s="33"/>
      <c r="H80" s="34"/>
      <c r="I80" s="34"/>
      <c r="J80" s="33"/>
      <c r="K80" s="11"/>
    </row>
    <row r="81" spans="1:11" ht="27.6" customHeight="1" thickBot="1" x14ac:dyDescent="0.25">
      <c r="A81" s="35" t="s">
        <v>46</v>
      </c>
      <c r="B81" s="271" t="s">
        <v>172</v>
      </c>
      <c r="C81" s="272"/>
      <c r="D81" s="272"/>
      <c r="E81" s="272"/>
      <c r="F81" s="272"/>
      <c r="G81" s="272"/>
      <c r="H81" s="272"/>
      <c r="I81" s="272"/>
      <c r="J81" s="273"/>
      <c r="K81" s="20"/>
    </row>
    <row r="82" spans="1:11" ht="30" customHeight="1" x14ac:dyDescent="0.2">
      <c r="A82" s="36" t="s">
        <v>0</v>
      </c>
      <c r="B82" s="36" t="s">
        <v>1</v>
      </c>
      <c r="C82" s="36" t="s">
        <v>2</v>
      </c>
      <c r="D82" s="36" t="s">
        <v>47</v>
      </c>
      <c r="E82" s="3" t="s">
        <v>4</v>
      </c>
      <c r="F82" s="3" t="s">
        <v>5</v>
      </c>
      <c r="G82" s="3" t="s">
        <v>6</v>
      </c>
      <c r="H82" s="37" t="s">
        <v>7</v>
      </c>
      <c r="I82" s="269"/>
      <c r="J82" s="38" t="s">
        <v>8</v>
      </c>
      <c r="K82" s="20"/>
    </row>
    <row r="83" spans="1:11" x14ac:dyDescent="0.2">
      <c r="A83" s="287" t="s">
        <v>49</v>
      </c>
      <c r="B83" s="288"/>
      <c r="C83" s="288"/>
      <c r="D83" s="288"/>
      <c r="E83" s="288"/>
      <c r="F83" s="288"/>
      <c r="G83" s="288"/>
      <c r="H83" s="288"/>
      <c r="I83" s="288"/>
      <c r="J83" s="289"/>
      <c r="K83" s="20"/>
    </row>
    <row r="84" spans="1:11" ht="40.9" customHeight="1" x14ac:dyDescent="0.2">
      <c r="A84" s="6" t="s">
        <v>182</v>
      </c>
      <c r="B84" s="7" t="s">
        <v>18</v>
      </c>
      <c r="C84" s="8" t="s">
        <v>219</v>
      </c>
      <c r="D84" s="9" t="s">
        <v>180</v>
      </c>
      <c r="E84" s="44">
        <v>30</v>
      </c>
      <c r="F84" s="9">
        <v>0</v>
      </c>
      <c r="G84" s="216"/>
      <c r="H84" s="41"/>
      <c r="I84" s="41" t="s">
        <v>325</v>
      </c>
      <c r="J84" s="8" t="s">
        <v>15</v>
      </c>
      <c r="K84" s="20"/>
    </row>
    <row r="85" spans="1:11" ht="34.9" customHeight="1" x14ac:dyDescent="0.2">
      <c r="A85" s="6" t="s">
        <v>22</v>
      </c>
      <c r="B85" s="7" t="s">
        <v>19</v>
      </c>
      <c r="C85" s="218" t="s">
        <v>146</v>
      </c>
      <c r="D85" s="29" t="s">
        <v>147</v>
      </c>
      <c r="E85" s="102">
        <v>68</v>
      </c>
      <c r="F85" s="102">
        <v>0</v>
      </c>
      <c r="G85" s="216" t="s">
        <v>220</v>
      </c>
      <c r="H85" s="214"/>
      <c r="I85" s="214" t="s">
        <v>322</v>
      </c>
      <c r="J85" s="8" t="s">
        <v>52</v>
      </c>
      <c r="K85" s="20"/>
    </row>
    <row r="86" spans="1:11" ht="32.450000000000003" customHeight="1" x14ac:dyDescent="0.2">
      <c r="A86" s="6" t="s">
        <v>72</v>
      </c>
      <c r="B86" s="7" t="s">
        <v>21</v>
      </c>
      <c r="C86" s="8" t="s">
        <v>205</v>
      </c>
      <c r="D86" s="212" t="s">
        <v>206</v>
      </c>
      <c r="E86" s="9">
        <v>20</v>
      </c>
      <c r="F86" s="9">
        <v>0</v>
      </c>
      <c r="G86" s="217"/>
      <c r="H86" s="8"/>
      <c r="I86" s="8" t="s">
        <v>318</v>
      </c>
      <c r="J86" s="8" t="s">
        <v>15</v>
      </c>
      <c r="K86" s="20"/>
    </row>
    <row r="87" spans="1:11" ht="30" customHeight="1" x14ac:dyDescent="0.2">
      <c r="A87" s="6" t="s">
        <v>22</v>
      </c>
      <c r="B87" s="7" t="s">
        <v>21</v>
      </c>
      <c r="C87" s="41" t="s">
        <v>221</v>
      </c>
      <c r="D87" s="247" t="s">
        <v>222</v>
      </c>
      <c r="E87" s="44">
        <v>50</v>
      </c>
      <c r="F87" s="44">
        <v>0</v>
      </c>
      <c r="G87" s="248" t="s">
        <v>223</v>
      </c>
      <c r="H87" s="10"/>
      <c r="I87" s="10" t="s">
        <v>322</v>
      </c>
      <c r="J87" s="8" t="s">
        <v>224</v>
      </c>
      <c r="K87" s="20"/>
    </row>
    <row r="88" spans="1:11" ht="37.9" customHeight="1" x14ac:dyDescent="0.2">
      <c r="A88" s="6" t="s">
        <v>203</v>
      </c>
      <c r="B88" s="7" t="s">
        <v>37</v>
      </c>
      <c r="C88" s="8" t="s">
        <v>200</v>
      </c>
      <c r="D88" s="212" t="s">
        <v>201</v>
      </c>
      <c r="E88" s="9">
        <v>15</v>
      </c>
      <c r="F88" s="9">
        <v>0</v>
      </c>
      <c r="G88" s="8"/>
      <c r="H88" s="10"/>
      <c r="I88" s="10" t="s">
        <v>326</v>
      </c>
      <c r="J88" s="8" t="s">
        <v>225</v>
      </c>
      <c r="K88" s="11"/>
    </row>
    <row r="89" spans="1:11" ht="36.75" customHeight="1" x14ac:dyDescent="0.2">
      <c r="A89" s="6"/>
      <c r="B89" s="222"/>
      <c r="C89" s="202"/>
      <c r="D89" s="203"/>
      <c r="E89" s="9"/>
      <c r="F89" s="29"/>
      <c r="G89" s="8"/>
      <c r="H89" s="10"/>
      <c r="I89" s="10"/>
      <c r="J89" s="8"/>
      <c r="K89" s="11"/>
    </row>
    <row r="90" spans="1:11" ht="15" hidden="1" customHeight="1" x14ac:dyDescent="0.2">
      <c r="A90" s="6"/>
      <c r="B90" s="7"/>
      <c r="C90" s="40"/>
      <c r="D90" s="9"/>
      <c r="E90" s="9"/>
      <c r="F90" s="9"/>
      <c r="G90" s="8"/>
      <c r="H90" s="10"/>
      <c r="I90" s="10"/>
      <c r="J90" s="8"/>
      <c r="K90" s="11"/>
    </row>
    <row r="91" spans="1:11" ht="15.75" hidden="1" customHeight="1" x14ac:dyDescent="0.2">
      <c r="A91" s="6"/>
      <c r="B91" s="7"/>
      <c r="C91" s="40"/>
      <c r="D91" s="9"/>
      <c r="E91" s="9"/>
      <c r="F91" s="9"/>
      <c r="G91" s="8"/>
      <c r="H91" s="10"/>
      <c r="I91" s="10"/>
      <c r="J91" s="8"/>
      <c r="K91" s="11"/>
    </row>
    <row r="92" spans="1:11" ht="18.75" hidden="1" customHeight="1" x14ac:dyDescent="0.2">
      <c r="A92" s="6"/>
      <c r="B92" s="7"/>
      <c r="C92" s="8"/>
      <c r="D92" s="9"/>
      <c r="E92" s="9"/>
      <c r="F92" s="9"/>
      <c r="G92" s="8"/>
      <c r="H92" s="10"/>
      <c r="I92" s="10"/>
      <c r="J92" s="8"/>
      <c r="K92" s="8"/>
    </row>
    <row r="93" spans="1:11" x14ac:dyDescent="0.2">
      <c r="A93" s="6"/>
      <c r="B93" s="7"/>
      <c r="C93" s="40"/>
      <c r="D93" s="9"/>
      <c r="E93" s="9"/>
      <c r="F93" s="9"/>
      <c r="G93" s="8"/>
      <c r="H93" s="10"/>
      <c r="I93" s="10"/>
      <c r="J93" s="8"/>
      <c r="K93" s="11"/>
    </row>
    <row r="94" spans="1:11" x14ac:dyDescent="0.2">
      <c r="A94" s="45"/>
      <c r="B94" s="13"/>
      <c r="C94" s="12" t="s">
        <v>32</v>
      </c>
      <c r="D94" s="14"/>
      <c r="E94" s="15">
        <f>SUM(E84:E93)</f>
        <v>183</v>
      </c>
      <c r="F94" s="16">
        <f>SUM(F84:F93)</f>
        <v>0</v>
      </c>
      <c r="G94" s="96"/>
      <c r="H94" s="18"/>
      <c r="I94" s="18"/>
      <c r="J94" s="19"/>
      <c r="K94" s="20"/>
    </row>
    <row r="95" spans="1:11" x14ac:dyDescent="0.2">
      <c r="A95" s="281" t="s">
        <v>33</v>
      </c>
      <c r="B95" s="282"/>
      <c r="C95" s="282"/>
      <c r="D95" s="282"/>
      <c r="E95" s="282"/>
      <c r="F95" s="282"/>
      <c r="G95" s="282"/>
      <c r="H95" s="282"/>
      <c r="I95" s="282"/>
      <c r="J95" s="283"/>
      <c r="K95" s="20"/>
    </row>
    <row r="96" spans="1:11" x14ac:dyDescent="0.2">
      <c r="A96" s="23" t="s">
        <v>34</v>
      </c>
      <c r="B96" s="23" t="s">
        <v>35</v>
      </c>
      <c r="C96" s="23"/>
      <c r="D96" s="97"/>
      <c r="E96" s="25"/>
      <c r="F96" s="25"/>
      <c r="G96" s="97"/>
      <c r="H96" s="25"/>
      <c r="I96" s="25"/>
      <c r="J96" s="25"/>
      <c r="K96" s="20"/>
    </row>
    <row r="97" spans="1:112" ht="33" customHeight="1" x14ac:dyDescent="0.2">
      <c r="A97" s="6" t="s">
        <v>10</v>
      </c>
      <c r="B97" s="7" t="s">
        <v>121</v>
      </c>
      <c r="C97" s="8" t="s">
        <v>216</v>
      </c>
      <c r="D97" s="9" t="s">
        <v>218</v>
      </c>
      <c r="E97" s="220">
        <v>40</v>
      </c>
      <c r="F97" s="28">
        <v>0</v>
      </c>
      <c r="G97" s="47"/>
      <c r="H97" s="199"/>
      <c r="I97" s="199" t="s">
        <v>325</v>
      </c>
      <c r="J97" s="8" t="s">
        <v>15</v>
      </c>
      <c r="K97" s="20"/>
      <c r="AH97" t="s">
        <v>104</v>
      </c>
    </row>
    <row r="98" spans="1:112" ht="30" customHeight="1" x14ac:dyDescent="0.2">
      <c r="A98" s="6" t="s">
        <v>228</v>
      </c>
      <c r="B98" s="39" t="s">
        <v>14</v>
      </c>
      <c r="C98" s="41" t="s">
        <v>226</v>
      </c>
      <c r="D98" s="212" t="s">
        <v>227</v>
      </c>
      <c r="E98" s="9">
        <v>10</v>
      </c>
      <c r="F98" s="9">
        <v>0</v>
      </c>
      <c r="G98" s="8"/>
      <c r="H98" s="8"/>
      <c r="I98" s="8"/>
      <c r="J98" s="8" t="s">
        <v>40</v>
      </c>
      <c r="K98" s="20"/>
    </row>
    <row r="99" spans="1:112" ht="34.15" customHeight="1" x14ac:dyDescent="0.2">
      <c r="A99" s="6" t="s">
        <v>62</v>
      </c>
      <c r="B99" s="7" t="s">
        <v>14</v>
      </c>
      <c r="C99" s="8" t="s">
        <v>229</v>
      </c>
      <c r="D99" s="212" t="s">
        <v>144</v>
      </c>
      <c r="E99" s="9">
        <v>0</v>
      </c>
      <c r="F99" s="9">
        <v>0</v>
      </c>
      <c r="G99" s="10"/>
      <c r="H99" s="10"/>
      <c r="I99" s="10"/>
      <c r="J99" s="8"/>
      <c r="K99" s="20"/>
    </row>
    <row r="100" spans="1:112" ht="28.15" customHeight="1" x14ac:dyDescent="0.2">
      <c r="A100" s="6" t="s">
        <v>191</v>
      </c>
      <c r="B100" s="7" t="s">
        <v>17</v>
      </c>
      <c r="C100" s="8" t="s">
        <v>230</v>
      </c>
      <c r="D100" s="9" t="s">
        <v>143</v>
      </c>
      <c r="E100" s="9">
        <v>15</v>
      </c>
      <c r="F100" s="28">
        <v>0</v>
      </c>
      <c r="G100" s="8"/>
      <c r="H100" s="8"/>
      <c r="I100" s="8"/>
      <c r="J100" s="8"/>
      <c r="K100" s="20"/>
      <c r="DH100" t="s">
        <v>105</v>
      </c>
    </row>
    <row r="101" spans="1:112" ht="28.15" customHeight="1" x14ac:dyDescent="0.2">
      <c r="A101" s="6" t="s">
        <v>69</v>
      </c>
      <c r="B101" s="7" t="s">
        <v>17</v>
      </c>
      <c r="C101" s="8" t="s">
        <v>231</v>
      </c>
      <c r="D101" s="212" t="s">
        <v>137</v>
      </c>
      <c r="E101" s="9">
        <v>0</v>
      </c>
      <c r="F101" s="28">
        <v>0</v>
      </c>
      <c r="G101" s="8"/>
      <c r="H101" s="10"/>
      <c r="I101" s="10"/>
      <c r="J101" s="8"/>
      <c r="K101" s="20"/>
    </row>
    <row r="102" spans="1:112" ht="28.15" customHeight="1" x14ac:dyDescent="0.2">
      <c r="A102" s="6" t="s">
        <v>194</v>
      </c>
      <c r="B102" s="7" t="s">
        <v>193</v>
      </c>
      <c r="C102" s="8" t="s">
        <v>192</v>
      </c>
      <c r="D102" s="212" t="s">
        <v>67</v>
      </c>
      <c r="E102" s="9">
        <v>0</v>
      </c>
      <c r="F102" s="28">
        <v>0</v>
      </c>
      <c r="G102" s="8"/>
      <c r="H102" s="10"/>
      <c r="I102" s="10"/>
      <c r="J102" s="8"/>
      <c r="K102" s="20"/>
    </row>
    <row r="103" spans="1:112" ht="28.15" customHeight="1" x14ac:dyDescent="0.2">
      <c r="A103" s="6" t="s">
        <v>233</v>
      </c>
      <c r="B103" s="7" t="s">
        <v>24</v>
      </c>
      <c r="C103" s="8" t="s">
        <v>232</v>
      </c>
      <c r="D103" s="212" t="s">
        <v>157</v>
      </c>
      <c r="E103" s="9">
        <v>12</v>
      </c>
      <c r="F103" s="28">
        <v>0</v>
      </c>
      <c r="G103" s="8"/>
      <c r="H103" s="10"/>
      <c r="I103" s="10"/>
      <c r="J103" s="8"/>
      <c r="K103" s="20"/>
    </row>
    <row r="104" spans="1:112" ht="28.15" customHeight="1" x14ac:dyDescent="0.2">
      <c r="A104" s="6" t="s">
        <v>113</v>
      </c>
      <c r="B104" s="7" t="s">
        <v>212</v>
      </c>
      <c r="C104" s="8" t="s">
        <v>237</v>
      </c>
      <c r="D104" s="212" t="s">
        <v>148</v>
      </c>
      <c r="E104" s="9">
        <v>6</v>
      </c>
      <c r="F104" s="28">
        <v>0</v>
      </c>
      <c r="G104" s="8"/>
      <c r="H104" s="10"/>
      <c r="I104" s="10"/>
      <c r="J104" s="8"/>
      <c r="K104" s="20"/>
    </row>
    <row r="105" spans="1:112" ht="28.15" customHeight="1" x14ac:dyDescent="0.2">
      <c r="A105" s="6" t="s">
        <v>235</v>
      </c>
      <c r="B105" s="7" t="s">
        <v>212</v>
      </c>
      <c r="C105" s="8" t="s">
        <v>234</v>
      </c>
      <c r="D105" s="212" t="s">
        <v>67</v>
      </c>
      <c r="E105" s="9">
        <v>7</v>
      </c>
      <c r="F105" s="28">
        <v>0</v>
      </c>
      <c r="G105" s="8"/>
      <c r="H105" s="10"/>
      <c r="I105" s="10"/>
      <c r="J105" s="8"/>
      <c r="K105" s="20"/>
    </row>
    <row r="106" spans="1:112" ht="28.15" customHeight="1" x14ac:dyDescent="0.2">
      <c r="A106" s="6" t="s">
        <v>10</v>
      </c>
      <c r="B106" s="7" t="s">
        <v>125</v>
      </c>
      <c r="C106" s="8" t="s">
        <v>128</v>
      </c>
      <c r="D106" s="212" t="s">
        <v>140</v>
      </c>
      <c r="E106" s="9">
        <v>5</v>
      </c>
      <c r="F106" s="28">
        <v>0</v>
      </c>
      <c r="G106" s="8"/>
      <c r="H106" s="10"/>
      <c r="I106" s="10"/>
      <c r="J106" s="8"/>
      <c r="K106" s="20"/>
    </row>
    <row r="107" spans="1:112" ht="28.15" customHeight="1" x14ac:dyDescent="0.2">
      <c r="A107" s="6" t="s">
        <v>238</v>
      </c>
      <c r="B107" s="7" t="s">
        <v>152</v>
      </c>
      <c r="C107" s="8" t="s">
        <v>239</v>
      </c>
      <c r="D107" s="212" t="s">
        <v>67</v>
      </c>
      <c r="E107" s="9">
        <v>6</v>
      </c>
      <c r="F107" s="28"/>
      <c r="G107" s="8"/>
      <c r="H107" s="10"/>
      <c r="I107" s="10" t="s">
        <v>323</v>
      </c>
      <c r="J107" s="8" t="s">
        <v>240</v>
      </c>
      <c r="K107" s="20"/>
    </row>
    <row r="108" spans="1:112" ht="28.15" customHeight="1" x14ac:dyDescent="0.2">
      <c r="A108" s="6" t="s">
        <v>213</v>
      </c>
      <c r="B108" s="7" t="s">
        <v>59</v>
      </c>
      <c r="C108" s="8" t="s">
        <v>241</v>
      </c>
      <c r="D108" s="212" t="s">
        <v>242</v>
      </c>
      <c r="E108" s="9">
        <v>8</v>
      </c>
      <c r="F108" s="28">
        <v>0</v>
      </c>
      <c r="G108" s="8"/>
      <c r="H108" s="10"/>
      <c r="I108" s="10"/>
      <c r="J108" s="8"/>
      <c r="K108" s="20"/>
    </row>
    <row r="109" spans="1:112" ht="30" customHeight="1" x14ac:dyDescent="0.2">
      <c r="A109" s="6" t="s">
        <v>154</v>
      </c>
      <c r="B109" s="7" t="s">
        <v>31</v>
      </c>
      <c r="C109" s="8" t="s">
        <v>151</v>
      </c>
      <c r="D109" s="212" t="s">
        <v>153</v>
      </c>
      <c r="E109" s="28">
        <v>10</v>
      </c>
      <c r="F109" s="28">
        <v>0</v>
      </c>
      <c r="G109" s="98"/>
      <c r="H109" s="170"/>
      <c r="I109" s="170"/>
      <c r="J109" s="8"/>
      <c r="K109" s="20"/>
    </row>
    <row r="110" spans="1:112" ht="30" customHeight="1" x14ac:dyDescent="0.2">
      <c r="A110" s="6" t="s">
        <v>61</v>
      </c>
      <c r="B110" s="7" t="s">
        <v>58</v>
      </c>
      <c r="C110" s="8" t="s">
        <v>155</v>
      </c>
      <c r="D110" s="212" t="s">
        <v>156</v>
      </c>
      <c r="E110" s="28">
        <v>1</v>
      </c>
      <c r="F110" s="28">
        <v>0</v>
      </c>
      <c r="G110" s="98"/>
      <c r="H110" s="170"/>
      <c r="I110" s="170"/>
      <c r="J110" s="8"/>
      <c r="K110" s="20"/>
    </row>
    <row r="111" spans="1:112" ht="30" customHeight="1" x14ac:dyDescent="0.2">
      <c r="A111" s="6"/>
      <c r="B111" s="7"/>
      <c r="C111" s="8"/>
      <c r="D111" s="212"/>
      <c r="E111" s="28"/>
      <c r="F111" s="28"/>
      <c r="G111" s="98"/>
      <c r="H111" s="170"/>
      <c r="I111" s="170"/>
      <c r="J111" s="8"/>
      <c r="K111" s="20"/>
    </row>
    <row r="112" spans="1:112" ht="29.45" hidden="1" customHeight="1" x14ac:dyDescent="0.2">
      <c r="A112" s="6"/>
      <c r="B112" s="7"/>
      <c r="C112" s="8"/>
      <c r="D112" s="9"/>
      <c r="E112" s="9"/>
      <c r="F112" s="28"/>
      <c r="G112" s="47"/>
      <c r="H112" s="215"/>
      <c r="I112" s="215"/>
      <c r="J112" s="8"/>
      <c r="K112" s="20"/>
      <c r="P112" t="s">
        <v>106</v>
      </c>
    </row>
    <row r="113" spans="1:11" ht="27.6" hidden="1" customHeight="1" x14ac:dyDescent="0.2">
      <c r="A113" s="26" t="s">
        <v>13</v>
      </c>
      <c r="B113" s="7" t="s">
        <v>24</v>
      </c>
      <c r="C113" s="8"/>
      <c r="D113" s="9"/>
      <c r="E113" s="28"/>
      <c r="F113" s="9"/>
      <c r="G113" s="47"/>
      <c r="H113" s="48"/>
      <c r="I113" s="48"/>
      <c r="J113" s="8" t="s">
        <v>40</v>
      </c>
      <c r="K113" s="20"/>
    </row>
    <row r="114" spans="1:11" ht="22.9" hidden="1" customHeight="1" x14ac:dyDescent="0.2">
      <c r="A114" s="41" t="s">
        <v>61</v>
      </c>
      <c r="B114" s="39" t="s">
        <v>58</v>
      </c>
      <c r="C114" s="49"/>
      <c r="D114" s="47"/>
      <c r="E114" s="28"/>
      <c r="F114" s="9"/>
      <c r="G114" s="47"/>
      <c r="H114" s="48"/>
      <c r="I114" s="48"/>
      <c r="J114" s="8" t="s">
        <v>40</v>
      </c>
      <c r="K114" s="20"/>
    </row>
    <row r="115" spans="1:11" ht="25.15" hidden="1" customHeight="1" x14ac:dyDescent="0.2">
      <c r="A115" s="41" t="s">
        <v>63</v>
      </c>
      <c r="B115" s="39" t="s">
        <v>58</v>
      </c>
      <c r="C115" s="49"/>
      <c r="D115" s="47"/>
      <c r="E115" s="28"/>
      <c r="F115" s="9"/>
      <c r="G115" s="47"/>
      <c r="H115" s="48"/>
      <c r="I115" s="48"/>
      <c r="J115" s="8" t="s">
        <v>40</v>
      </c>
      <c r="K115" s="11"/>
    </row>
    <row r="116" spans="1:11" ht="24" hidden="1" customHeight="1" x14ac:dyDescent="0.2">
      <c r="A116" s="6" t="s">
        <v>64</v>
      </c>
      <c r="B116" s="7" t="s">
        <v>59</v>
      </c>
      <c r="C116" s="8"/>
      <c r="D116" s="9"/>
      <c r="E116" s="9"/>
      <c r="F116" s="9"/>
      <c r="G116" s="8"/>
      <c r="H116" s="10"/>
      <c r="I116" s="10"/>
      <c r="J116" s="8" t="s">
        <v>40</v>
      </c>
      <c r="K116" s="11"/>
    </row>
    <row r="117" spans="1:11" ht="24.6" hidden="1" customHeight="1" x14ac:dyDescent="0.2">
      <c r="A117" s="6" t="s">
        <v>62</v>
      </c>
      <c r="B117" s="7" t="s">
        <v>31</v>
      </c>
      <c r="C117" s="40"/>
      <c r="D117" s="9"/>
      <c r="E117" s="9"/>
      <c r="F117" s="9"/>
      <c r="G117" s="8"/>
      <c r="H117" s="10"/>
      <c r="I117" s="10"/>
      <c r="J117" s="8" t="s">
        <v>40</v>
      </c>
      <c r="K117" s="11"/>
    </row>
    <row r="118" spans="1:11" ht="28.9" hidden="1" customHeight="1" x14ac:dyDescent="0.2">
      <c r="A118" s="6" t="s">
        <v>10</v>
      </c>
      <c r="B118" s="7" t="s">
        <v>65</v>
      </c>
      <c r="C118" s="8"/>
      <c r="D118" s="9"/>
      <c r="E118" s="9"/>
      <c r="F118" s="9"/>
      <c r="G118" s="8"/>
      <c r="H118" s="10"/>
      <c r="I118" s="10"/>
      <c r="J118" s="8" t="s">
        <v>40</v>
      </c>
      <c r="K118" s="11"/>
    </row>
    <row r="119" spans="1:11" hidden="1" x14ac:dyDescent="0.2">
      <c r="A119" s="6"/>
      <c r="B119" s="7"/>
      <c r="C119" s="40"/>
      <c r="D119" s="9"/>
      <c r="E119" s="9"/>
      <c r="F119" s="9"/>
      <c r="G119" s="8"/>
      <c r="H119" s="10"/>
      <c r="I119" s="10"/>
      <c r="J119" s="8"/>
      <c r="K119" s="11"/>
    </row>
    <row r="120" spans="1:11" hidden="1" x14ac:dyDescent="0.2">
      <c r="A120" s="6"/>
      <c r="B120" s="7"/>
      <c r="C120" s="40"/>
      <c r="D120" s="9"/>
      <c r="E120" s="9"/>
      <c r="F120" s="9"/>
      <c r="G120" s="8"/>
      <c r="H120" s="10"/>
      <c r="I120" s="10"/>
      <c r="J120" s="8"/>
      <c r="K120" s="11"/>
    </row>
    <row r="121" spans="1:11" hidden="1" x14ac:dyDescent="0.2">
      <c r="A121" s="6"/>
      <c r="B121" s="7"/>
      <c r="C121" s="40"/>
      <c r="D121" s="9"/>
      <c r="E121" s="9"/>
      <c r="F121" s="9"/>
      <c r="G121" s="8"/>
      <c r="H121" s="10"/>
      <c r="I121" s="10"/>
      <c r="J121" s="8"/>
      <c r="K121" s="11"/>
    </row>
    <row r="122" spans="1:11" hidden="1" x14ac:dyDescent="0.2">
      <c r="A122" s="6"/>
      <c r="B122" s="7"/>
      <c r="C122" s="40"/>
      <c r="D122" s="9"/>
      <c r="E122" s="9"/>
      <c r="F122" s="9"/>
      <c r="G122" s="8"/>
      <c r="H122" s="10"/>
      <c r="I122" s="10"/>
      <c r="J122" s="8"/>
      <c r="K122" s="11"/>
    </row>
    <row r="123" spans="1:11" hidden="1" x14ac:dyDescent="0.2">
      <c r="A123" s="6"/>
      <c r="B123" s="7"/>
      <c r="C123" s="40"/>
      <c r="D123" s="9"/>
      <c r="E123" s="9"/>
      <c r="F123" s="9"/>
      <c r="G123" s="8"/>
      <c r="H123" s="10"/>
      <c r="I123" s="10"/>
      <c r="J123" s="8"/>
      <c r="K123" s="11"/>
    </row>
    <row r="124" spans="1:11" x14ac:dyDescent="0.2">
      <c r="A124" s="6"/>
      <c r="B124" s="7"/>
      <c r="C124" s="40"/>
      <c r="D124" s="9"/>
      <c r="E124" s="9"/>
      <c r="F124" s="9"/>
      <c r="G124" s="8"/>
      <c r="H124" s="10"/>
      <c r="I124" s="10"/>
      <c r="J124" s="8"/>
      <c r="K124" s="20"/>
    </row>
    <row r="125" spans="1:11" x14ac:dyDescent="0.2">
      <c r="A125" s="12"/>
      <c r="B125" s="13"/>
      <c r="C125" s="12"/>
      <c r="D125" s="50"/>
      <c r="E125" s="122">
        <f>SUM(E97:E124)</f>
        <v>120</v>
      </c>
      <c r="F125" s="123">
        <f>SUM(F109:F124)</f>
        <v>0</v>
      </c>
      <c r="G125" s="96"/>
      <c r="H125" s="17"/>
      <c r="I125" s="17"/>
      <c r="J125" s="19"/>
      <c r="K125" s="20"/>
    </row>
    <row r="126" spans="1:11" ht="24.6" customHeight="1" thickBot="1" x14ac:dyDescent="0.25">
      <c r="A126" s="3" t="s">
        <v>66</v>
      </c>
      <c r="B126" s="271" t="s">
        <v>173</v>
      </c>
      <c r="C126" s="272"/>
      <c r="D126" s="272"/>
      <c r="E126" s="272"/>
      <c r="F126" s="272"/>
      <c r="G126" s="272"/>
      <c r="H126" s="272"/>
      <c r="I126" s="272"/>
      <c r="J126" s="273"/>
      <c r="K126" s="20"/>
    </row>
    <row r="127" spans="1:11" ht="24.75" x14ac:dyDescent="0.2">
      <c r="A127" s="3" t="s">
        <v>0</v>
      </c>
      <c r="B127" s="3" t="s">
        <v>67</v>
      </c>
      <c r="C127" s="3" t="s">
        <v>2</v>
      </c>
      <c r="D127" s="3" t="s">
        <v>3</v>
      </c>
      <c r="E127" s="3" t="s">
        <v>4</v>
      </c>
      <c r="F127" s="3" t="s">
        <v>5</v>
      </c>
      <c r="G127" s="3" t="s">
        <v>6</v>
      </c>
      <c r="H127" s="37" t="s">
        <v>7</v>
      </c>
      <c r="I127" s="269"/>
      <c r="J127" s="38" t="s">
        <v>8</v>
      </c>
      <c r="K127" s="20"/>
    </row>
    <row r="128" spans="1:11" ht="35.450000000000003" customHeight="1" x14ac:dyDescent="0.2">
      <c r="A128" s="281" t="s">
        <v>68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11"/>
    </row>
    <row r="129" spans="1:11" ht="40.15" customHeight="1" x14ac:dyDescent="0.2">
      <c r="A129" s="6" t="s">
        <v>22</v>
      </c>
      <c r="B129" s="7" t="s">
        <v>17</v>
      </c>
      <c r="C129" s="41" t="s">
        <v>158</v>
      </c>
      <c r="D129" s="247" t="s">
        <v>133</v>
      </c>
      <c r="E129" s="44">
        <v>0</v>
      </c>
      <c r="F129" s="44">
        <v>30</v>
      </c>
      <c r="G129" s="41" t="s">
        <v>159</v>
      </c>
      <c r="H129" s="10"/>
      <c r="I129" s="10"/>
      <c r="J129" s="8" t="s">
        <v>40</v>
      </c>
      <c r="K129" s="11"/>
    </row>
    <row r="130" spans="1:11" ht="36" customHeight="1" x14ac:dyDescent="0.2">
      <c r="A130" s="6" t="s">
        <v>182</v>
      </c>
      <c r="B130" s="7" t="s">
        <v>18</v>
      </c>
      <c r="C130" s="249" t="s">
        <v>219</v>
      </c>
      <c r="D130" s="250" t="s">
        <v>180</v>
      </c>
      <c r="E130" s="60">
        <v>30</v>
      </c>
      <c r="F130" s="60">
        <v>0</v>
      </c>
      <c r="G130" s="251"/>
      <c r="H130" s="214"/>
      <c r="I130" s="214" t="s">
        <v>327</v>
      </c>
      <c r="J130" s="8" t="s">
        <v>15</v>
      </c>
      <c r="K130" s="11"/>
    </row>
    <row r="131" spans="1:11" ht="39.6" customHeight="1" x14ac:dyDescent="0.2">
      <c r="A131" s="6" t="s">
        <v>244</v>
      </c>
      <c r="B131" s="7" t="s">
        <v>19</v>
      </c>
      <c r="C131" s="249" t="s">
        <v>243</v>
      </c>
      <c r="D131" s="252" t="s">
        <v>118</v>
      </c>
      <c r="E131" s="44">
        <v>80</v>
      </c>
      <c r="F131" s="28">
        <v>0</v>
      </c>
      <c r="G131" s="47" t="s">
        <v>245</v>
      </c>
      <c r="H131" s="46"/>
      <c r="I131" s="46" t="s">
        <v>326</v>
      </c>
      <c r="J131" s="8" t="s">
        <v>52</v>
      </c>
      <c r="K131" s="11"/>
    </row>
    <row r="132" spans="1:11" ht="50.45" customHeight="1" x14ac:dyDescent="0.2">
      <c r="A132" s="6" t="s">
        <v>249</v>
      </c>
      <c r="B132" s="7" t="s">
        <v>248</v>
      </c>
      <c r="C132" s="249" t="s">
        <v>246</v>
      </c>
      <c r="D132" s="253" t="s">
        <v>222</v>
      </c>
      <c r="E132" s="44">
        <v>68</v>
      </c>
      <c r="F132" s="28">
        <v>0</v>
      </c>
      <c r="G132" s="55" t="s">
        <v>223</v>
      </c>
      <c r="H132" s="237"/>
      <c r="I132" s="237" t="s">
        <v>322</v>
      </c>
      <c r="J132" s="8" t="s">
        <v>247</v>
      </c>
      <c r="K132" s="11"/>
    </row>
    <row r="133" spans="1:11" ht="39.6" customHeight="1" x14ac:dyDescent="0.2">
      <c r="A133" s="6" t="s">
        <v>72</v>
      </c>
      <c r="B133" s="7" t="s">
        <v>21</v>
      </c>
      <c r="C133" s="249" t="s">
        <v>205</v>
      </c>
      <c r="D133" s="253" t="s">
        <v>206</v>
      </c>
      <c r="E133" s="44">
        <v>20</v>
      </c>
      <c r="F133" s="28">
        <v>0</v>
      </c>
      <c r="G133" s="55"/>
      <c r="H133" s="236"/>
      <c r="I133" s="236" t="s">
        <v>328</v>
      </c>
      <c r="J133" s="8" t="s">
        <v>15</v>
      </c>
      <c r="K133" s="11"/>
    </row>
    <row r="134" spans="1:11" ht="39.6" customHeight="1" x14ac:dyDescent="0.2">
      <c r="A134" s="6" t="s">
        <v>22</v>
      </c>
      <c r="B134" s="222" t="s">
        <v>21</v>
      </c>
      <c r="C134" s="249" t="s">
        <v>165</v>
      </c>
      <c r="D134" s="253" t="s">
        <v>147</v>
      </c>
      <c r="E134" s="44">
        <v>54</v>
      </c>
      <c r="F134" s="28">
        <v>0</v>
      </c>
      <c r="G134" s="55" t="s">
        <v>220</v>
      </c>
      <c r="H134" s="236"/>
      <c r="I134" s="236" t="s">
        <v>322</v>
      </c>
      <c r="J134" s="8" t="s">
        <v>52</v>
      </c>
      <c r="K134" s="11"/>
    </row>
    <row r="135" spans="1:11" ht="39.6" customHeight="1" x14ac:dyDescent="0.2">
      <c r="A135" s="6" t="s">
        <v>166</v>
      </c>
      <c r="B135" s="222" t="s">
        <v>37</v>
      </c>
      <c r="C135" s="249" t="s">
        <v>251</v>
      </c>
      <c r="D135" s="253" t="s">
        <v>135</v>
      </c>
      <c r="E135" s="44">
        <v>10</v>
      </c>
      <c r="F135" s="28">
        <v>0</v>
      </c>
      <c r="G135" s="55" t="s">
        <v>160</v>
      </c>
      <c r="H135" s="236"/>
      <c r="I135" s="236" t="s">
        <v>321</v>
      </c>
      <c r="J135" s="8" t="s">
        <v>247</v>
      </c>
      <c r="K135" s="11"/>
    </row>
    <row r="136" spans="1:11" ht="39.6" customHeight="1" x14ac:dyDescent="0.2">
      <c r="A136" s="6" t="s">
        <v>256</v>
      </c>
      <c r="B136" s="222" t="s">
        <v>254</v>
      </c>
      <c r="C136" s="249" t="s">
        <v>255</v>
      </c>
      <c r="D136" s="253" t="s">
        <v>131</v>
      </c>
      <c r="E136" s="44">
        <v>60</v>
      </c>
      <c r="F136" s="28">
        <v>0</v>
      </c>
      <c r="G136" s="55"/>
      <c r="H136" s="236"/>
      <c r="I136" s="236" t="s">
        <v>327</v>
      </c>
      <c r="J136" s="8" t="s">
        <v>52</v>
      </c>
      <c r="K136" s="11"/>
    </row>
    <row r="137" spans="1:11" ht="39.6" customHeight="1" x14ac:dyDescent="0.2">
      <c r="A137" s="6" t="s">
        <v>28</v>
      </c>
      <c r="B137" s="222" t="s">
        <v>27</v>
      </c>
      <c r="C137" s="221"/>
      <c r="D137" s="235"/>
      <c r="E137" s="9"/>
      <c r="F137" s="28"/>
      <c r="G137" s="47"/>
      <c r="H137" s="46"/>
      <c r="I137" s="46" t="s">
        <v>322</v>
      </c>
      <c r="J137" s="8" t="s">
        <v>126</v>
      </c>
      <c r="K137" s="11"/>
    </row>
    <row r="138" spans="1:11" ht="49.9" hidden="1" customHeight="1" x14ac:dyDescent="0.2">
      <c r="A138" s="6"/>
      <c r="B138" s="7"/>
      <c r="C138" s="8"/>
      <c r="D138" s="212"/>
      <c r="E138" s="9"/>
      <c r="F138" s="9"/>
      <c r="G138" s="8"/>
      <c r="H138" s="199"/>
      <c r="I138" s="199"/>
      <c r="J138" s="8"/>
      <c r="K138" s="11"/>
    </row>
    <row r="139" spans="1:11" x14ac:dyDescent="0.2">
      <c r="A139" s="6"/>
      <c r="B139" s="7"/>
      <c r="C139" s="40"/>
      <c r="D139" s="9"/>
      <c r="E139" s="9"/>
      <c r="F139" s="9"/>
      <c r="G139" s="8"/>
      <c r="H139" s="10"/>
      <c r="I139" s="10"/>
      <c r="J139" s="8"/>
      <c r="K139" s="20"/>
    </row>
    <row r="140" spans="1:11" x14ac:dyDescent="0.2">
      <c r="A140" s="278" t="s">
        <v>32</v>
      </c>
      <c r="B140" s="279"/>
      <c r="C140" s="279"/>
      <c r="D140" s="280"/>
      <c r="E140" s="15">
        <f>SUM(E129:E139)</f>
        <v>322</v>
      </c>
      <c r="F140" s="16">
        <f>SUM(F129:F139)</f>
        <v>30</v>
      </c>
      <c r="G140" s="96"/>
      <c r="H140" s="18"/>
      <c r="I140" s="18"/>
      <c r="J140" s="19"/>
      <c r="K140" s="20"/>
    </row>
    <row r="141" spans="1:11" x14ac:dyDescent="0.2">
      <c r="A141" s="281" t="s">
        <v>33</v>
      </c>
      <c r="B141" s="282"/>
      <c r="C141" s="282"/>
      <c r="D141" s="282"/>
      <c r="E141" s="282"/>
      <c r="F141" s="282"/>
      <c r="G141" s="282"/>
      <c r="H141" s="282"/>
      <c r="I141" s="282"/>
      <c r="J141" s="283"/>
      <c r="K141" s="51"/>
    </row>
    <row r="142" spans="1:11" ht="24.6" customHeight="1" x14ac:dyDescent="0.2">
      <c r="A142" s="23" t="s">
        <v>34</v>
      </c>
      <c r="B142" s="23" t="s">
        <v>35</v>
      </c>
      <c r="C142" s="23"/>
      <c r="D142" s="97"/>
      <c r="E142" s="25"/>
      <c r="F142" s="25"/>
      <c r="G142" s="97"/>
      <c r="H142" s="25"/>
      <c r="I142" s="25"/>
      <c r="J142" s="25"/>
      <c r="K142" s="51"/>
    </row>
    <row r="143" spans="1:11" ht="24.6" customHeight="1" x14ac:dyDescent="0.2">
      <c r="A143" s="6"/>
      <c r="B143" s="27"/>
      <c r="C143" s="8"/>
      <c r="D143" s="9"/>
      <c r="E143" s="220"/>
      <c r="F143" s="28"/>
      <c r="G143" s="47"/>
      <c r="H143" s="199"/>
      <c r="I143" s="199"/>
      <c r="J143" s="8"/>
      <c r="K143" s="51"/>
    </row>
    <row r="144" spans="1:11" ht="24.6" customHeight="1" x14ac:dyDescent="0.2">
      <c r="A144" s="6" t="s">
        <v>10</v>
      </c>
      <c r="B144" s="27" t="s">
        <v>125</v>
      </c>
      <c r="C144" s="8" t="s">
        <v>128</v>
      </c>
      <c r="D144" s="9" t="s">
        <v>140</v>
      </c>
      <c r="E144" s="220">
        <v>5</v>
      </c>
      <c r="F144" s="28">
        <v>0</v>
      </c>
      <c r="G144" s="47"/>
      <c r="H144" s="199"/>
      <c r="I144" s="199"/>
      <c r="J144" s="8"/>
      <c r="K144" s="51"/>
    </row>
    <row r="145" spans="1:11" ht="24.6" customHeight="1" x14ac:dyDescent="0.2">
      <c r="A145" s="6" t="s">
        <v>64</v>
      </c>
      <c r="B145" s="27" t="s">
        <v>152</v>
      </c>
      <c r="C145" s="8" t="s">
        <v>269</v>
      </c>
      <c r="D145" s="9" t="s">
        <v>163</v>
      </c>
      <c r="E145" s="220">
        <v>7</v>
      </c>
      <c r="F145" s="28">
        <v>0</v>
      </c>
      <c r="G145" s="47"/>
      <c r="H145" s="199"/>
      <c r="I145" s="199"/>
      <c r="J145" s="8"/>
      <c r="K145" s="51"/>
    </row>
    <row r="146" spans="1:11" ht="24.6" customHeight="1" x14ac:dyDescent="0.2">
      <c r="A146" s="6" t="s">
        <v>270</v>
      </c>
      <c r="B146" s="27" t="s">
        <v>152</v>
      </c>
      <c r="C146" s="8" t="s">
        <v>271</v>
      </c>
      <c r="D146" s="9" t="s">
        <v>130</v>
      </c>
      <c r="E146" s="220">
        <v>8</v>
      </c>
      <c r="F146" s="28">
        <v>0</v>
      </c>
      <c r="G146" s="47"/>
      <c r="H146" s="199"/>
      <c r="I146" s="199"/>
      <c r="J146" s="8"/>
      <c r="K146" s="51"/>
    </row>
    <row r="147" spans="1:11" ht="34.15" customHeight="1" x14ac:dyDescent="0.2">
      <c r="A147" s="6" t="s">
        <v>113</v>
      </c>
      <c r="B147" s="7" t="s">
        <v>59</v>
      </c>
      <c r="C147" s="8" t="s">
        <v>162</v>
      </c>
      <c r="D147" s="9" t="s">
        <v>163</v>
      </c>
      <c r="E147" s="220">
        <v>5</v>
      </c>
      <c r="F147" s="9">
        <v>0</v>
      </c>
      <c r="G147" s="47"/>
      <c r="H147" s="48"/>
      <c r="I147" s="48"/>
      <c r="J147" s="8"/>
      <c r="K147" s="11"/>
    </row>
    <row r="148" spans="1:11" ht="34.9" hidden="1" customHeight="1" x14ac:dyDescent="0.2">
      <c r="A148" s="6"/>
      <c r="B148" s="7"/>
      <c r="C148" s="8"/>
      <c r="D148" s="212"/>
      <c r="E148" s="9"/>
      <c r="F148" s="9"/>
      <c r="G148" s="10"/>
      <c r="H148" s="10"/>
      <c r="I148" s="10"/>
      <c r="J148" s="8"/>
      <c r="K148" s="11"/>
    </row>
    <row r="149" spans="1:11" ht="30" hidden="1" customHeight="1" x14ac:dyDescent="0.2">
      <c r="A149" s="6"/>
      <c r="B149" s="7"/>
      <c r="C149" s="8"/>
      <c r="D149" s="9"/>
      <c r="E149" s="220"/>
      <c r="F149" s="9"/>
      <c r="G149" s="47"/>
      <c r="H149" s="48"/>
      <c r="I149" s="48"/>
      <c r="J149" s="8"/>
      <c r="K149" s="11"/>
    </row>
    <row r="150" spans="1:11" ht="27.6" hidden="1" customHeight="1" x14ac:dyDescent="0.2">
      <c r="A150" s="6" t="s">
        <v>23</v>
      </c>
      <c r="B150" s="7" t="s">
        <v>29</v>
      </c>
      <c r="C150" s="8"/>
      <c r="D150" s="212"/>
      <c r="E150" s="28"/>
      <c r="F150" s="9"/>
      <c r="G150" s="47"/>
      <c r="H150" s="48"/>
      <c r="I150" s="48"/>
      <c r="J150" s="52" t="s">
        <v>40</v>
      </c>
      <c r="K150" s="11"/>
    </row>
    <row r="151" spans="1:11" ht="27" hidden="1" customHeight="1" x14ac:dyDescent="0.2">
      <c r="A151" s="41" t="s">
        <v>111</v>
      </c>
      <c r="B151" s="7" t="s">
        <v>31</v>
      </c>
      <c r="C151" s="49"/>
      <c r="D151" s="9"/>
      <c r="E151" s="9"/>
      <c r="F151" s="9"/>
      <c r="G151" s="52"/>
      <c r="H151" s="53"/>
      <c r="I151" s="53"/>
      <c r="J151" s="52" t="s">
        <v>40</v>
      </c>
      <c r="K151" s="11"/>
    </row>
    <row r="152" spans="1:11" ht="27.6" hidden="1" customHeight="1" x14ac:dyDescent="0.2">
      <c r="A152" s="6" t="s">
        <v>113</v>
      </c>
      <c r="B152" s="7" t="s">
        <v>42</v>
      </c>
      <c r="C152" s="8"/>
      <c r="D152" s="9"/>
      <c r="E152" s="9"/>
      <c r="F152" s="9"/>
      <c r="G152" s="8"/>
      <c r="H152" s="8"/>
      <c r="I152" s="8"/>
      <c r="J152" s="52" t="s">
        <v>57</v>
      </c>
      <c r="K152" s="11"/>
    </row>
    <row r="153" spans="1:11" ht="29.45" hidden="1" customHeight="1" x14ac:dyDescent="0.2">
      <c r="A153" s="6" t="s">
        <v>69</v>
      </c>
      <c r="B153" s="7" t="s">
        <v>59</v>
      </c>
      <c r="D153" s="47"/>
      <c r="E153" s="9"/>
      <c r="F153" s="9"/>
      <c r="G153" s="8"/>
      <c r="H153" s="10"/>
      <c r="I153" s="10"/>
      <c r="J153" s="8" t="s">
        <v>40</v>
      </c>
      <c r="K153" s="11"/>
    </row>
    <row r="154" spans="1:11" ht="25.9" hidden="1" customHeight="1" x14ac:dyDescent="0.2">
      <c r="A154" s="26" t="s">
        <v>10</v>
      </c>
      <c r="B154" s="27" t="s">
        <v>56</v>
      </c>
      <c r="C154" s="8"/>
      <c r="D154" s="9"/>
      <c r="E154" s="9"/>
      <c r="F154" s="9"/>
      <c r="G154" s="8"/>
      <c r="H154" s="10"/>
      <c r="I154" s="10"/>
      <c r="J154" s="8"/>
      <c r="K154" s="11"/>
    </row>
    <row r="155" spans="1:11" hidden="1" x14ac:dyDescent="0.2">
      <c r="A155" s="6"/>
      <c r="B155" s="7"/>
      <c r="C155" s="40"/>
      <c r="D155" s="9"/>
      <c r="E155" s="9"/>
      <c r="F155" s="9"/>
      <c r="G155" s="8"/>
      <c r="H155" s="10"/>
      <c r="I155" s="10"/>
      <c r="J155" s="8"/>
      <c r="K155" s="11"/>
    </row>
    <row r="156" spans="1:11" hidden="1" x14ac:dyDescent="0.2">
      <c r="A156" s="6"/>
      <c r="B156" s="7"/>
      <c r="C156" s="40"/>
      <c r="D156" s="9"/>
      <c r="E156" s="9"/>
      <c r="F156" s="9"/>
      <c r="G156" s="8"/>
      <c r="H156" s="10"/>
      <c r="I156" s="10"/>
      <c r="J156" s="8"/>
      <c r="K156" s="11"/>
    </row>
    <row r="157" spans="1:11" hidden="1" x14ac:dyDescent="0.2">
      <c r="A157" s="6"/>
      <c r="B157" s="7"/>
      <c r="C157" s="40"/>
      <c r="D157" s="9"/>
      <c r="E157" s="9"/>
      <c r="F157" s="9"/>
      <c r="G157" s="8"/>
      <c r="H157" s="10"/>
      <c r="I157" s="10"/>
      <c r="J157" s="8"/>
      <c r="K157" s="11"/>
    </row>
    <row r="158" spans="1:11" hidden="1" x14ac:dyDescent="0.2">
      <c r="A158" s="6"/>
      <c r="B158" s="7"/>
      <c r="C158" s="40"/>
      <c r="D158" s="9"/>
      <c r="E158" s="9"/>
      <c r="F158" s="9"/>
      <c r="G158" s="8"/>
      <c r="H158" s="10"/>
      <c r="I158" s="10"/>
      <c r="J158" s="8"/>
      <c r="K158" s="11"/>
    </row>
    <row r="159" spans="1:11" hidden="1" x14ac:dyDescent="0.2">
      <c r="A159" s="6"/>
      <c r="B159" s="7"/>
      <c r="C159" s="40"/>
      <c r="D159" s="9"/>
      <c r="E159" s="9"/>
      <c r="F159" s="9"/>
      <c r="G159" s="8"/>
      <c r="H159" s="10"/>
      <c r="I159" s="10"/>
      <c r="J159" s="8"/>
      <c r="K159" s="11"/>
    </row>
    <row r="160" spans="1:11" hidden="1" x14ac:dyDescent="0.2">
      <c r="A160" s="6"/>
      <c r="B160" s="7"/>
      <c r="C160" s="40"/>
      <c r="D160" s="9"/>
      <c r="E160" s="9"/>
      <c r="F160" s="9"/>
      <c r="G160" s="8"/>
      <c r="H160" s="10"/>
      <c r="I160" s="10"/>
      <c r="J160" s="8"/>
      <c r="K160" s="11"/>
    </row>
    <row r="161" spans="1:11" x14ac:dyDescent="0.2">
      <c r="A161" s="6" t="s">
        <v>60</v>
      </c>
      <c r="B161" s="7" t="s">
        <v>31</v>
      </c>
      <c r="C161" s="40" t="s">
        <v>161</v>
      </c>
      <c r="D161" s="9" t="s">
        <v>67</v>
      </c>
      <c r="E161" s="9">
        <v>20</v>
      </c>
      <c r="F161" s="9">
        <v>0</v>
      </c>
      <c r="G161" s="8"/>
      <c r="H161" s="10"/>
      <c r="I161" s="10"/>
      <c r="J161" s="8"/>
      <c r="K161" s="11"/>
    </row>
    <row r="162" spans="1:11" x14ac:dyDescent="0.2">
      <c r="A162" s="30"/>
      <c r="B162" s="31"/>
      <c r="C162" s="12" t="s">
        <v>32</v>
      </c>
      <c r="D162" s="32"/>
      <c r="E162" s="121">
        <f>SUM(E143:E161)</f>
        <v>45</v>
      </c>
      <c r="F162" s="121">
        <f>SUM(F147:F161)</f>
        <v>0</v>
      </c>
      <c r="G162" s="33"/>
      <c r="H162" s="34"/>
      <c r="I162" s="34"/>
      <c r="J162" s="33"/>
      <c r="K162" s="11"/>
    </row>
    <row r="163" spans="1:11" ht="25.15" customHeight="1" x14ac:dyDescent="0.2">
      <c r="A163" s="3" t="s">
        <v>66</v>
      </c>
      <c r="B163" s="290" t="s">
        <v>174</v>
      </c>
      <c r="C163" s="291"/>
      <c r="D163" s="291"/>
      <c r="E163" s="291"/>
      <c r="F163" s="291"/>
      <c r="G163" s="291"/>
      <c r="H163" s="291"/>
      <c r="I163" s="291"/>
      <c r="J163" s="292"/>
      <c r="K163" s="20"/>
    </row>
    <row r="164" spans="1:11" ht="24.75" x14ac:dyDescent="0.2">
      <c r="A164" s="3" t="s">
        <v>0</v>
      </c>
      <c r="B164" s="3" t="s">
        <v>1</v>
      </c>
      <c r="C164" s="3" t="s">
        <v>2</v>
      </c>
      <c r="D164" s="3" t="s">
        <v>3</v>
      </c>
      <c r="E164" s="3" t="s">
        <v>4</v>
      </c>
      <c r="F164" s="3" t="s">
        <v>5</v>
      </c>
      <c r="G164" s="3" t="s">
        <v>6</v>
      </c>
      <c r="H164" s="37" t="s">
        <v>7</v>
      </c>
      <c r="I164" s="269"/>
      <c r="J164" s="38" t="s">
        <v>8</v>
      </c>
      <c r="K164" s="20"/>
    </row>
    <row r="165" spans="1:11" ht="36.6" customHeight="1" x14ac:dyDescent="0.2">
      <c r="A165" s="281" t="s">
        <v>68</v>
      </c>
      <c r="B165" s="282"/>
      <c r="C165" s="282"/>
      <c r="D165" s="282"/>
      <c r="E165" s="282"/>
      <c r="F165" s="282"/>
      <c r="G165" s="282"/>
      <c r="H165" s="282"/>
      <c r="I165" s="282"/>
      <c r="J165" s="283"/>
      <c r="K165" s="20"/>
    </row>
    <row r="166" spans="1:11" ht="75.599999999999994" customHeight="1" x14ac:dyDescent="0.2">
      <c r="A166" s="6" t="s">
        <v>23</v>
      </c>
      <c r="B166" s="7" t="s">
        <v>11</v>
      </c>
      <c r="C166" s="254" t="s">
        <v>243</v>
      </c>
      <c r="D166" s="255" t="s">
        <v>118</v>
      </c>
      <c r="E166" s="44">
        <v>80</v>
      </c>
      <c r="F166" s="44"/>
      <c r="G166" s="41" t="s">
        <v>262</v>
      </c>
      <c r="H166" s="10"/>
      <c r="I166" s="10" t="s">
        <v>321</v>
      </c>
      <c r="J166" s="8" t="s">
        <v>52</v>
      </c>
      <c r="K166" s="20"/>
    </row>
    <row r="167" spans="1:11" ht="45.6" customHeight="1" x14ac:dyDescent="0.2">
      <c r="A167" s="6" t="s">
        <v>182</v>
      </c>
      <c r="B167" s="7" t="s">
        <v>18</v>
      </c>
      <c r="C167" s="41" t="s">
        <v>219</v>
      </c>
      <c r="D167" s="247" t="s">
        <v>180</v>
      </c>
      <c r="E167" s="44">
        <v>30</v>
      </c>
      <c r="F167" s="44"/>
      <c r="G167" s="41" t="s">
        <v>263</v>
      </c>
      <c r="H167" s="113"/>
      <c r="I167" s="113" t="s">
        <v>326</v>
      </c>
      <c r="J167" s="8" t="s">
        <v>15</v>
      </c>
      <c r="K167" s="11"/>
    </row>
    <row r="168" spans="1:11" ht="45.6" customHeight="1" x14ac:dyDescent="0.2">
      <c r="A168" s="6" t="s">
        <v>166</v>
      </c>
      <c r="B168" s="7" t="s">
        <v>19</v>
      </c>
      <c r="C168" s="41" t="s">
        <v>264</v>
      </c>
      <c r="D168" s="44" t="s">
        <v>265</v>
      </c>
      <c r="E168" s="44">
        <v>68</v>
      </c>
      <c r="F168" s="44"/>
      <c r="G168" s="41" t="s">
        <v>266</v>
      </c>
      <c r="H168" s="113"/>
      <c r="I168" s="113" t="s">
        <v>326</v>
      </c>
      <c r="J168" s="8" t="s">
        <v>52</v>
      </c>
      <c r="K168" s="11"/>
    </row>
    <row r="169" spans="1:11" ht="36.6" hidden="1" customHeight="1" x14ac:dyDescent="0.2">
      <c r="A169" s="6"/>
      <c r="B169" s="7"/>
      <c r="C169" s="218"/>
      <c r="D169" s="29"/>
      <c r="E169" s="9"/>
      <c r="F169" s="9"/>
      <c r="G169" s="8"/>
      <c r="H169" s="10"/>
      <c r="I169" s="10"/>
      <c r="J169" s="8"/>
      <c r="K169" s="20"/>
    </row>
    <row r="170" spans="1:11" ht="34.9" hidden="1" customHeight="1" x14ac:dyDescent="0.2">
      <c r="A170" s="6"/>
      <c r="B170" s="7"/>
      <c r="C170" s="8"/>
      <c r="D170" s="212"/>
      <c r="E170" s="9"/>
      <c r="F170" s="9"/>
      <c r="G170" s="8"/>
      <c r="H170" s="199"/>
      <c r="I170" s="199"/>
      <c r="J170" s="8"/>
      <c r="K170" s="11"/>
    </row>
    <row r="171" spans="1:11" ht="33" hidden="1" customHeight="1" x14ac:dyDescent="0.2">
      <c r="A171" s="6"/>
      <c r="B171" s="7"/>
      <c r="C171" s="8"/>
      <c r="D171" s="9"/>
      <c r="E171" s="102"/>
      <c r="F171" s="9"/>
      <c r="G171" s="52"/>
      <c r="H171" s="59"/>
      <c r="I171" s="59"/>
      <c r="J171" s="52"/>
      <c r="K171" s="11"/>
    </row>
    <row r="172" spans="1:11" ht="35.450000000000003" hidden="1" customHeight="1" x14ac:dyDescent="0.2">
      <c r="A172" s="6"/>
      <c r="B172" s="7"/>
      <c r="C172" s="8"/>
      <c r="D172" s="9"/>
      <c r="E172" s="102"/>
      <c r="F172" s="9"/>
      <c r="G172" s="8"/>
      <c r="H172" s="219"/>
      <c r="I172" s="219"/>
      <c r="J172" s="8"/>
      <c r="K172" s="20"/>
    </row>
    <row r="173" spans="1:11" ht="35.450000000000003" hidden="1" customHeight="1" x14ac:dyDescent="0.2">
      <c r="A173" s="6"/>
      <c r="B173" s="7"/>
      <c r="C173" s="40"/>
      <c r="D173" s="9"/>
      <c r="E173" s="102"/>
      <c r="F173" s="9"/>
      <c r="G173" s="8"/>
      <c r="H173" s="219"/>
      <c r="I173" s="219"/>
      <c r="J173" s="8"/>
      <c r="K173" s="20"/>
    </row>
    <row r="174" spans="1:11" ht="35.450000000000003" hidden="1" customHeight="1" x14ac:dyDescent="0.2">
      <c r="A174" s="6"/>
      <c r="B174" s="7"/>
      <c r="C174" s="8"/>
      <c r="D174" s="9"/>
      <c r="E174" s="28"/>
      <c r="F174" s="9"/>
      <c r="G174" s="8"/>
      <c r="H174" s="219"/>
      <c r="I174" s="219"/>
      <c r="J174" s="8"/>
      <c r="K174" s="20"/>
    </row>
    <row r="175" spans="1:11" ht="40.9" hidden="1" customHeight="1" x14ac:dyDescent="0.2">
      <c r="A175" s="26"/>
      <c r="B175" s="7"/>
      <c r="C175" s="8"/>
      <c r="D175" s="9"/>
      <c r="E175" s="9"/>
      <c r="F175" s="9"/>
      <c r="G175" s="8"/>
      <c r="H175" s="219"/>
      <c r="I175" s="219"/>
      <c r="J175" s="8"/>
      <c r="K175" s="20"/>
    </row>
    <row r="176" spans="1:11" ht="40.9" customHeight="1" x14ac:dyDescent="0.2">
      <c r="A176" s="26" t="s">
        <v>10</v>
      </c>
      <c r="B176" s="7" t="s">
        <v>21</v>
      </c>
      <c r="C176" s="40" t="s">
        <v>268</v>
      </c>
      <c r="D176" s="9" t="s">
        <v>143</v>
      </c>
      <c r="E176" s="9">
        <v>66</v>
      </c>
      <c r="F176" s="9"/>
      <c r="G176" s="8" t="s">
        <v>127</v>
      </c>
      <c r="H176" s="219"/>
      <c r="I176" s="219" t="s">
        <v>321</v>
      </c>
      <c r="J176" s="8" t="s">
        <v>15</v>
      </c>
      <c r="K176" s="20"/>
    </row>
    <row r="177" spans="1:11" ht="40.9" customHeight="1" x14ac:dyDescent="0.2">
      <c r="A177" s="230" t="s">
        <v>238</v>
      </c>
      <c r="B177" s="229" t="s">
        <v>37</v>
      </c>
      <c r="C177" s="26" t="s">
        <v>273</v>
      </c>
      <c r="D177" s="232" t="s">
        <v>274</v>
      </c>
      <c r="E177" s="232">
        <v>23</v>
      </c>
      <c r="F177" s="232">
        <v>0</v>
      </c>
      <c r="G177" s="260" t="s">
        <v>275</v>
      </c>
      <c r="H177" s="219"/>
      <c r="I177" s="219" t="s">
        <v>329</v>
      </c>
      <c r="J177" s="8"/>
      <c r="K177" s="20"/>
    </row>
    <row r="178" spans="1:11" ht="40.9" customHeight="1" x14ac:dyDescent="0.2">
      <c r="A178" s="26" t="s">
        <v>278</v>
      </c>
      <c r="B178" s="7" t="s">
        <v>51</v>
      </c>
      <c r="C178" s="40" t="s">
        <v>277</v>
      </c>
      <c r="D178" s="9" t="s">
        <v>136</v>
      </c>
      <c r="E178" s="9">
        <v>35</v>
      </c>
      <c r="F178" s="9"/>
      <c r="G178" s="8" t="s">
        <v>279</v>
      </c>
      <c r="H178" s="219"/>
      <c r="I178" s="219" t="s">
        <v>321</v>
      </c>
      <c r="J178" s="8" t="s">
        <v>15</v>
      </c>
      <c r="K178" s="20"/>
    </row>
    <row r="179" spans="1:11" ht="40.9" customHeight="1" x14ac:dyDescent="0.2">
      <c r="A179" s="26"/>
      <c r="B179" s="7"/>
      <c r="C179" s="40"/>
      <c r="D179" s="9"/>
      <c r="E179" s="9"/>
      <c r="F179" s="9"/>
      <c r="G179" s="8"/>
      <c r="H179" s="219"/>
      <c r="I179" s="219"/>
      <c r="J179" s="8"/>
      <c r="K179" s="20"/>
    </row>
    <row r="180" spans="1:11" ht="19.899999999999999" customHeight="1" x14ac:dyDescent="0.2">
      <c r="A180" s="6"/>
      <c r="B180" s="7"/>
      <c r="C180" s="40"/>
      <c r="D180" s="9"/>
      <c r="E180" s="9"/>
      <c r="F180" s="9"/>
      <c r="G180" s="8"/>
      <c r="H180" s="10"/>
      <c r="I180" s="10"/>
      <c r="J180" s="8"/>
      <c r="K180" s="20"/>
    </row>
    <row r="181" spans="1:11" x14ac:dyDescent="0.2">
      <c r="A181" s="278" t="s">
        <v>32</v>
      </c>
      <c r="B181" s="279"/>
      <c r="C181" s="279"/>
      <c r="D181" s="280"/>
      <c r="E181" s="15">
        <f>SUM(E166:E180)</f>
        <v>302</v>
      </c>
      <c r="F181" s="15">
        <f>SUM(F166:F180)</f>
        <v>0</v>
      </c>
      <c r="G181" s="96"/>
      <c r="H181" s="18"/>
      <c r="I181" s="18"/>
      <c r="J181" s="19"/>
      <c r="K181" s="20"/>
    </row>
    <row r="182" spans="1:11" ht="14.45" customHeight="1" x14ac:dyDescent="0.2">
      <c r="A182" s="281" t="s">
        <v>33</v>
      </c>
      <c r="B182" s="282"/>
      <c r="C182" s="282"/>
      <c r="D182" s="282"/>
      <c r="E182" s="282"/>
      <c r="F182" s="282"/>
      <c r="G182" s="282"/>
      <c r="H182" s="282"/>
      <c r="I182" s="282"/>
      <c r="J182" s="283"/>
      <c r="K182" s="20"/>
    </row>
    <row r="183" spans="1:11" ht="24.75" x14ac:dyDescent="0.2">
      <c r="A183" s="57" t="s">
        <v>0</v>
      </c>
      <c r="B183" s="57" t="s">
        <v>1</v>
      </c>
      <c r="C183" s="1" t="s">
        <v>2</v>
      </c>
      <c r="D183" s="1" t="s">
        <v>3</v>
      </c>
      <c r="E183" s="58"/>
      <c r="F183" s="58" t="s">
        <v>70</v>
      </c>
      <c r="G183" s="99" t="s">
        <v>6</v>
      </c>
      <c r="H183" s="57" t="s">
        <v>7</v>
      </c>
      <c r="I183" s="270"/>
      <c r="J183" s="38" t="s">
        <v>8</v>
      </c>
      <c r="K183" s="20"/>
    </row>
    <row r="184" spans="1:11" ht="19.149999999999999" customHeight="1" x14ac:dyDescent="0.2">
      <c r="A184" s="42" t="s">
        <v>34</v>
      </c>
      <c r="B184" s="42" t="s">
        <v>35</v>
      </c>
      <c r="C184" s="42"/>
      <c r="D184" s="100"/>
      <c r="E184" s="43"/>
      <c r="F184" s="43"/>
      <c r="G184" s="100"/>
      <c r="H184" s="43"/>
      <c r="I184" s="43"/>
      <c r="J184" s="43"/>
      <c r="K184" s="51"/>
    </row>
    <row r="185" spans="1:11" ht="19.149999999999999" customHeight="1" x14ac:dyDescent="0.2">
      <c r="A185" s="245"/>
      <c r="B185" s="245"/>
      <c r="C185" s="245"/>
      <c r="D185" s="256"/>
      <c r="E185" s="257"/>
      <c r="F185" s="257"/>
      <c r="G185" s="256"/>
      <c r="H185" s="258"/>
      <c r="I185" s="258"/>
      <c r="J185" s="257"/>
      <c r="K185" s="51"/>
    </row>
    <row r="186" spans="1:11" ht="19.149999999999999" customHeight="1" x14ac:dyDescent="0.2">
      <c r="A186" s="230"/>
      <c r="B186" s="229"/>
      <c r="C186" s="230"/>
      <c r="D186" s="232"/>
      <c r="E186" s="232"/>
      <c r="F186" s="232"/>
      <c r="G186" s="231"/>
      <c r="H186" s="233"/>
      <c r="I186" s="233"/>
      <c r="J186" s="232"/>
      <c r="K186" s="51"/>
    </row>
    <row r="187" spans="1:11" ht="32.25" customHeight="1" x14ac:dyDescent="0.2">
      <c r="A187" s="6"/>
      <c r="B187" s="229"/>
      <c r="C187" s="230"/>
      <c r="D187" s="231"/>
      <c r="E187" s="232"/>
      <c r="F187" s="232"/>
      <c r="G187" s="231"/>
      <c r="H187" s="233"/>
      <c r="I187" s="233"/>
      <c r="J187" s="234"/>
      <c r="K187" s="51"/>
    </row>
    <row r="188" spans="1:11" ht="29.45" customHeight="1" x14ac:dyDescent="0.2">
      <c r="A188" s="6"/>
      <c r="B188" s="27"/>
      <c r="C188" s="8"/>
      <c r="D188" s="9"/>
      <c r="E188" s="220"/>
      <c r="F188" s="28"/>
      <c r="G188" s="231"/>
      <c r="H188" s="233"/>
      <c r="I188" s="233"/>
      <c r="J188" s="234"/>
      <c r="K188" s="51"/>
    </row>
    <row r="189" spans="1:11" ht="32.25" hidden="1" customHeight="1" x14ac:dyDescent="0.2">
      <c r="A189" s="6"/>
      <c r="B189" s="229"/>
      <c r="C189" s="26"/>
      <c r="D189" s="231"/>
      <c r="E189" s="232"/>
      <c r="F189" s="232"/>
      <c r="G189" s="231"/>
      <c r="H189" s="233"/>
      <c r="I189" s="233"/>
      <c r="J189" s="234"/>
      <c r="K189" s="51"/>
    </row>
    <row r="190" spans="1:11" ht="36" hidden="1" customHeight="1" x14ac:dyDescent="0.2">
      <c r="A190" s="6"/>
      <c r="B190" s="7"/>
      <c r="C190" s="8"/>
      <c r="D190" s="9"/>
      <c r="E190" s="28"/>
      <c r="F190" s="28"/>
      <c r="G190" s="47"/>
      <c r="H190" s="199"/>
      <c r="I190" s="199"/>
      <c r="J190" s="8"/>
      <c r="K190" s="20"/>
    </row>
    <row r="191" spans="1:11" ht="36" hidden="1" customHeight="1" x14ac:dyDescent="0.2">
      <c r="A191" s="6"/>
      <c r="B191" s="7"/>
      <c r="C191" s="8"/>
      <c r="D191" s="9"/>
      <c r="E191" s="28"/>
      <c r="F191" s="9"/>
      <c r="G191" s="55"/>
      <c r="H191" s="10"/>
      <c r="I191" s="10"/>
      <c r="J191" s="8"/>
      <c r="K191" s="20"/>
    </row>
    <row r="192" spans="1:11" ht="28.15" hidden="1" customHeight="1" x14ac:dyDescent="0.2">
      <c r="A192" s="6" t="s">
        <v>71</v>
      </c>
      <c r="B192" s="7"/>
      <c r="C192" s="202"/>
      <c r="D192" s="203"/>
      <c r="E192" s="9"/>
      <c r="F192" s="28"/>
      <c r="G192" s="8"/>
      <c r="H192" s="59"/>
      <c r="I192" s="59"/>
      <c r="J192" s="8" t="s">
        <v>40</v>
      </c>
      <c r="K192" s="20"/>
    </row>
    <row r="193" spans="1:12" ht="30" hidden="1" customHeight="1" x14ac:dyDescent="0.2">
      <c r="A193" s="26" t="s">
        <v>13</v>
      </c>
      <c r="B193" s="7"/>
      <c r="C193" s="26"/>
      <c r="D193" s="47"/>
      <c r="E193" s="28"/>
      <c r="F193" s="61"/>
      <c r="G193" s="52"/>
      <c r="H193" s="52"/>
      <c r="I193" s="52"/>
      <c r="J193" s="8" t="s">
        <v>15</v>
      </c>
      <c r="K193" s="11"/>
    </row>
    <row r="194" spans="1:12" ht="24" hidden="1" customHeight="1" x14ac:dyDescent="0.2">
      <c r="A194" s="6" t="s">
        <v>43</v>
      </c>
      <c r="B194" s="7"/>
      <c r="C194" s="8"/>
      <c r="D194" s="9"/>
      <c r="E194" s="44"/>
      <c r="F194" s="9"/>
      <c r="G194" s="52"/>
      <c r="H194" s="10"/>
      <c r="I194" s="10"/>
      <c r="J194" s="8" t="s">
        <v>15</v>
      </c>
      <c r="K194" s="11"/>
    </row>
    <row r="195" spans="1:12" ht="24" hidden="1" customHeight="1" x14ac:dyDescent="0.2">
      <c r="A195" s="6" t="s">
        <v>72</v>
      </c>
      <c r="B195" s="7"/>
      <c r="C195" s="40"/>
      <c r="D195" s="9"/>
      <c r="E195" s="44"/>
      <c r="F195" s="9"/>
      <c r="G195" s="52"/>
      <c r="H195" s="10"/>
      <c r="I195" s="10"/>
      <c r="J195" s="8" t="s">
        <v>57</v>
      </c>
      <c r="K195" s="11"/>
    </row>
    <row r="196" spans="1:12" x14ac:dyDescent="0.2">
      <c r="A196" s="6"/>
      <c r="B196" s="7"/>
      <c r="C196" s="40"/>
      <c r="D196" s="9"/>
      <c r="E196" s="9"/>
      <c r="F196" s="9"/>
      <c r="G196" s="8"/>
      <c r="H196" s="10"/>
      <c r="I196" s="10"/>
      <c r="J196" s="8"/>
      <c r="K196" s="11"/>
    </row>
    <row r="197" spans="1:12" x14ac:dyDescent="0.2">
      <c r="A197" s="30"/>
      <c r="B197" s="31"/>
      <c r="C197" s="12" t="s">
        <v>32</v>
      </c>
      <c r="D197" s="32"/>
      <c r="E197" s="121">
        <f>SUM(E187:E196)</f>
        <v>0</v>
      </c>
      <c r="F197" s="121">
        <f>SUM(F190:F196)</f>
        <v>0</v>
      </c>
      <c r="G197" s="33"/>
      <c r="H197" s="34"/>
      <c r="I197" s="34"/>
      <c r="J197" s="33"/>
      <c r="K197" s="20"/>
    </row>
    <row r="198" spans="1:12" ht="26.45" customHeight="1" x14ac:dyDescent="0.2">
      <c r="A198" s="3" t="s">
        <v>46</v>
      </c>
      <c r="B198" s="290" t="s">
        <v>175</v>
      </c>
      <c r="C198" s="291"/>
      <c r="D198" s="291"/>
      <c r="E198" s="291"/>
      <c r="F198" s="291"/>
      <c r="G198" s="291"/>
      <c r="H198" s="291"/>
      <c r="I198" s="291"/>
      <c r="J198" s="292"/>
      <c r="K198" s="20"/>
    </row>
    <row r="199" spans="1:12" ht="24.75" x14ac:dyDescent="0.2">
      <c r="A199" s="3" t="s">
        <v>0</v>
      </c>
      <c r="B199" s="3" t="s">
        <v>1</v>
      </c>
      <c r="C199" s="3" t="s">
        <v>2</v>
      </c>
      <c r="D199" s="3" t="s">
        <v>3</v>
      </c>
      <c r="E199" s="3" t="s">
        <v>4</v>
      </c>
      <c r="F199" s="3" t="s">
        <v>5</v>
      </c>
      <c r="G199" s="3" t="s">
        <v>6</v>
      </c>
      <c r="H199" s="37" t="s">
        <v>7</v>
      </c>
      <c r="I199" s="269"/>
      <c r="J199" s="38" t="s">
        <v>8</v>
      </c>
      <c r="K199" s="20"/>
    </row>
    <row r="200" spans="1:12" ht="14.45" customHeight="1" x14ac:dyDescent="0.2">
      <c r="A200" s="281" t="s">
        <v>68</v>
      </c>
      <c r="B200" s="282"/>
      <c r="C200" s="282"/>
      <c r="D200" s="282"/>
      <c r="E200" s="282"/>
      <c r="F200" s="282"/>
      <c r="G200" s="282"/>
      <c r="H200" s="282"/>
      <c r="I200" s="282"/>
      <c r="J200" s="283"/>
      <c r="K200" s="11"/>
    </row>
    <row r="201" spans="1:12" ht="52.9" customHeight="1" x14ac:dyDescent="0.2">
      <c r="A201" s="6" t="s">
        <v>10</v>
      </c>
      <c r="B201" s="7" t="s">
        <v>11</v>
      </c>
      <c r="C201" s="202" t="s">
        <v>283</v>
      </c>
      <c r="D201" s="203" t="s">
        <v>118</v>
      </c>
      <c r="E201" s="9">
        <v>80</v>
      </c>
      <c r="F201" s="9">
        <v>0</v>
      </c>
      <c r="G201" s="8" t="s">
        <v>164</v>
      </c>
      <c r="H201" s="113"/>
      <c r="I201" s="113" t="s">
        <v>330</v>
      </c>
      <c r="J201" s="8" t="s">
        <v>52</v>
      </c>
      <c r="K201" s="11"/>
    </row>
    <row r="202" spans="1:12" ht="71.25" hidden="1" customHeight="1" x14ac:dyDescent="0.2">
      <c r="A202" s="6"/>
      <c r="B202" s="7"/>
      <c r="C202" s="202"/>
      <c r="D202" s="203"/>
      <c r="E202" s="9"/>
      <c r="F202" s="9"/>
      <c r="G202" s="8"/>
      <c r="H202" s="113"/>
      <c r="I202" s="113"/>
      <c r="J202" s="8"/>
      <c r="K202" s="11"/>
    </row>
    <row r="203" spans="1:12" ht="71.25" hidden="1" customHeight="1" x14ac:dyDescent="0.2">
      <c r="A203" s="6"/>
      <c r="B203" s="7"/>
      <c r="C203" s="8"/>
      <c r="D203" s="9"/>
      <c r="E203" s="9"/>
      <c r="F203" s="9"/>
      <c r="G203" s="8"/>
      <c r="H203" s="10"/>
      <c r="I203" s="10"/>
      <c r="J203" s="8"/>
      <c r="K203" s="11"/>
    </row>
    <row r="204" spans="1:12" ht="40.15" hidden="1" customHeight="1" x14ac:dyDescent="0.2">
      <c r="A204" s="6"/>
      <c r="B204" s="7"/>
      <c r="C204" s="8"/>
      <c r="D204" s="9"/>
      <c r="E204" s="102"/>
      <c r="F204" s="9"/>
      <c r="G204" s="8"/>
      <c r="H204" s="10"/>
      <c r="I204" s="10"/>
      <c r="J204" s="8"/>
      <c r="L204" s="11"/>
    </row>
    <row r="205" spans="1:12" ht="34.15" hidden="1" customHeight="1" x14ac:dyDescent="0.2">
      <c r="A205" s="6"/>
      <c r="B205" s="7"/>
      <c r="C205" s="8"/>
      <c r="D205" s="9"/>
      <c r="E205" s="102"/>
      <c r="F205" s="9"/>
      <c r="G205" s="8"/>
      <c r="H205" s="117"/>
      <c r="I205" s="117"/>
      <c r="J205" s="8"/>
      <c r="K205" s="11"/>
    </row>
    <row r="206" spans="1:12" ht="40.9" hidden="1" customHeight="1" x14ac:dyDescent="0.2">
      <c r="A206" s="6"/>
      <c r="B206" s="7"/>
      <c r="C206" s="8"/>
      <c r="D206" s="9"/>
      <c r="E206" s="60"/>
      <c r="F206" s="9"/>
      <c r="G206" s="52"/>
      <c r="H206" s="55"/>
      <c r="I206" s="55"/>
      <c r="J206" s="8"/>
      <c r="K206" s="11"/>
    </row>
    <row r="207" spans="1:12" ht="36.6" hidden="1" customHeight="1" x14ac:dyDescent="0.2">
      <c r="A207" s="6"/>
      <c r="B207" s="7"/>
      <c r="C207" s="41"/>
      <c r="D207" s="9"/>
      <c r="E207" s="47"/>
      <c r="F207" s="9"/>
      <c r="G207" s="47"/>
      <c r="H207" s="56"/>
      <c r="I207" s="56"/>
      <c r="J207" s="8"/>
      <c r="K207" s="11"/>
    </row>
    <row r="208" spans="1:12" ht="32.450000000000003" hidden="1" customHeight="1" x14ac:dyDescent="0.2">
      <c r="A208" s="6"/>
      <c r="B208" s="222"/>
      <c r="C208" s="202"/>
      <c r="D208" s="203"/>
      <c r="E208" s="9"/>
      <c r="F208" s="9"/>
      <c r="G208" s="8"/>
      <c r="H208" s="10"/>
      <c r="I208" s="10"/>
      <c r="J208" s="8"/>
      <c r="K208" s="11"/>
    </row>
    <row r="209" spans="1:11" ht="29.45" hidden="1" customHeight="1" x14ac:dyDescent="0.2">
      <c r="A209" s="6" t="s">
        <v>73</v>
      </c>
      <c r="B209" s="7" t="s">
        <v>24</v>
      </c>
      <c r="C209" s="40"/>
      <c r="D209" s="9"/>
      <c r="E209" s="9"/>
      <c r="F209" s="9"/>
      <c r="G209" s="8" t="s">
        <v>119</v>
      </c>
      <c r="H209" s="56"/>
      <c r="I209" s="56"/>
      <c r="J209" s="8" t="s">
        <v>38</v>
      </c>
      <c r="K209" s="11"/>
    </row>
    <row r="210" spans="1:11" ht="26.45" hidden="1" customHeight="1" x14ac:dyDescent="0.2">
      <c r="A210" s="6" t="s">
        <v>74</v>
      </c>
      <c r="B210" s="54" t="s">
        <v>27</v>
      </c>
      <c r="C210" s="40"/>
      <c r="D210" s="47"/>
      <c r="E210" s="9"/>
      <c r="F210" s="9"/>
      <c r="G210" s="8" t="s">
        <v>119</v>
      </c>
      <c r="H210" s="10"/>
      <c r="I210" s="10"/>
      <c r="J210" s="8" t="s">
        <v>38</v>
      </c>
      <c r="K210" s="20"/>
    </row>
    <row r="211" spans="1:11" ht="26.45" customHeight="1" x14ac:dyDescent="0.2">
      <c r="A211" s="6" t="s">
        <v>166</v>
      </c>
      <c r="B211" s="54" t="s">
        <v>287</v>
      </c>
      <c r="C211" s="40" t="s">
        <v>264</v>
      </c>
      <c r="D211" s="47" t="s">
        <v>265</v>
      </c>
      <c r="E211" s="9">
        <v>68</v>
      </c>
      <c r="F211" s="9">
        <v>0</v>
      </c>
      <c r="G211" s="8" t="s">
        <v>288</v>
      </c>
      <c r="H211" s="10"/>
      <c r="I211" s="10" t="s">
        <v>330</v>
      </c>
      <c r="J211" s="8" t="s">
        <v>52</v>
      </c>
      <c r="K211" s="20"/>
    </row>
    <row r="212" spans="1:11" ht="26.45" customHeight="1" x14ac:dyDescent="0.2">
      <c r="A212" s="6" t="s">
        <v>293</v>
      </c>
      <c r="B212" s="54" t="s">
        <v>19</v>
      </c>
      <c r="C212" s="40" t="s">
        <v>290</v>
      </c>
      <c r="D212" s="47" t="s">
        <v>222</v>
      </c>
      <c r="E212" s="9">
        <v>50</v>
      </c>
      <c r="F212" s="9">
        <v>0</v>
      </c>
      <c r="G212" s="8" t="s">
        <v>291</v>
      </c>
      <c r="H212" s="10"/>
      <c r="I212" s="10" t="s">
        <v>330</v>
      </c>
      <c r="J212" s="8" t="s">
        <v>292</v>
      </c>
      <c r="K212" s="20"/>
    </row>
    <row r="213" spans="1:11" ht="26.45" customHeight="1" x14ac:dyDescent="0.2">
      <c r="A213" s="6" t="s">
        <v>10</v>
      </c>
      <c r="B213" s="54" t="s">
        <v>21</v>
      </c>
      <c r="C213" s="40" t="s">
        <v>268</v>
      </c>
      <c r="D213" s="47" t="s">
        <v>143</v>
      </c>
      <c r="E213" s="9">
        <v>65</v>
      </c>
      <c r="F213" s="9">
        <v>0</v>
      </c>
      <c r="G213" s="8" t="s">
        <v>127</v>
      </c>
      <c r="H213" s="10"/>
      <c r="I213" s="10" t="s">
        <v>330</v>
      </c>
      <c r="J213" s="8" t="s">
        <v>38</v>
      </c>
      <c r="K213" s="20"/>
    </row>
    <row r="214" spans="1:11" ht="10.15" customHeight="1" x14ac:dyDescent="0.2">
      <c r="A214" s="6"/>
      <c r="B214" s="7"/>
      <c r="C214" s="9"/>
      <c r="D214" s="9"/>
      <c r="E214" s="9"/>
      <c r="F214" s="9"/>
      <c r="G214" s="8"/>
      <c r="H214" s="10"/>
      <c r="I214" s="10"/>
      <c r="J214" s="8"/>
      <c r="K214" s="20"/>
    </row>
    <row r="215" spans="1:11" x14ac:dyDescent="0.2">
      <c r="A215" s="278" t="s">
        <v>32</v>
      </c>
      <c r="B215" s="279"/>
      <c r="C215" s="279"/>
      <c r="D215" s="280"/>
      <c r="E215" s="15">
        <f>SUM(E201:E214)</f>
        <v>263</v>
      </c>
      <c r="F215" s="16">
        <f>SUM(F201:F214)</f>
        <v>0</v>
      </c>
      <c r="G215" s="96"/>
      <c r="H215" s="18"/>
      <c r="I215" s="18"/>
      <c r="J215" s="19"/>
      <c r="K215" s="20"/>
    </row>
    <row r="216" spans="1:11" ht="14.45" customHeight="1" x14ac:dyDescent="0.2">
      <c r="A216" s="281" t="s">
        <v>33</v>
      </c>
      <c r="B216" s="282"/>
      <c r="C216" s="282"/>
      <c r="D216" s="282"/>
      <c r="E216" s="282"/>
      <c r="F216" s="282"/>
      <c r="G216" s="282"/>
      <c r="H216" s="282"/>
      <c r="I216" s="282"/>
      <c r="J216" s="283"/>
      <c r="K216" s="20"/>
    </row>
    <row r="217" spans="1:11" x14ac:dyDescent="0.2">
      <c r="A217" s="57" t="s">
        <v>0</v>
      </c>
      <c r="B217" s="57" t="s">
        <v>1</v>
      </c>
      <c r="C217" s="1" t="s">
        <v>2</v>
      </c>
      <c r="D217" s="1" t="s">
        <v>3</v>
      </c>
      <c r="E217" s="58"/>
      <c r="F217" s="58" t="s">
        <v>70</v>
      </c>
      <c r="G217" s="99" t="s">
        <v>6</v>
      </c>
      <c r="H217" s="62"/>
      <c r="I217" s="62"/>
      <c r="J217" s="57" t="s">
        <v>75</v>
      </c>
      <c r="K217" s="20"/>
    </row>
    <row r="218" spans="1:11" x14ac:dyDescent="0.2">
      <c r="A218" s="23" t="s">
        <v>34</v>
      </c>
      <c r="B218" s="23" t="s">
        <v>35</v>
      </c>
      <c r="C218" s="23"/>
      <c r="D218" s="97"/>
      <c r="E218" s="25"/>
      <c r="F218" s="25"/>
      <c r="G218" s="97"/>
      <c r="H218" s="25"/>
      <c r="I218" s="25"/>
      <c r="J218" s="25"/>
      <c r="K218" s="11"/>
    </row>
    <row r="219" spans="1:11" ht="33" customHeight="1" x14ac:dyDescent="0.2">
      <c r="A219" s="26" t="s">
        <v>20</v>
      </c>
      <c r="B219" s="7" t="s">
        <v>286</v>
      </c>
      <c r="C219" s="8" t="s">
        <v>285</v>
      </c>
      <c r="D219" s="9" t="s">
        <v>67</v>
      </c>
      <c r="E219" s="28"/>
      <c r="F219" s="9"/>
      <c r="G219" s="55"/>
      <c r="H219" s="10"/>
      <c r="I219" s="10"/>
      <c r="J219" s="8"/>
      <c r="K219" s="11"/>
    </row>
    <row r="220" spans="1:11" ht="23.45" hidden="1" customHeight="1" x14ac:dyDescent="0.2">
      <c r="A220" s="6" t="s">
        <v>10</v>
      </c>
      <c r="B220" s="7" t="s">
        <v>24</v>
      </c>
      <c r="C220" s="8"/>
      <c r="D220" s="9"/>
      <c r="E220" s="9"/>
      <c r="F220" s="9"/>
      <c r="G220" s="8"/>
      <c r="H220" s="10"/>
      <c r="I220" s="10"/>
      <c r="J220" s="8"/>
      <c r="K220" s="20"/>
    </row>
    <row r="221" spans="1:11" ht="19.899999999999999" customHeight="1" x14ac:dyDescent="0.2">
      <c r="A221" s="6"/>
      <c r="B221" s="7"/>
      <c r="C221" s="8"/>
      <c r="D221" s="9"/>
      <c r="E221" s="9"/>
      <c r="F221" s="9"/>
      <c r="G221" s="8"/>
      <c r="H221" s="10"/>
      <c r="I221" s="10"/>
      <c r="J221" s="8"/>
      <c r="K221" s="20"/>
    </row>
    <row r="222" spans="1:11" x14ac:dyDescent="0.2">
      <c r="A222" s="50"/>
      <c r="B222" s="50"/>
      <c r="C222" s="12" t="s">
        <v>32</v>
      </c>
      <c r="D222" s="50"/>
      <c r="E222" s="120">
        <f>SUM(E219:E221)</f>
        <v>0</v>
      </c>
      <c r="F222" s="120">
        <f>SUM(F219:F221)</f>
        <v>0</v>
      </c>
      <c r="G222" s="96"/>
      <c r="H222" s="17"/>
      <c r="I222" s="17"/>
      <c r="J222" s="19"/>
      <c r="K222" s="20"/>
    </row>
    <row r="223" spans="1:11" ht="22.9" customHeight="1" x14ac:dyDescent="0.2">
      <c r="A223" s="3" t="s">
        <v>66</v>
      </c>
      <c r="B223" s="290" t="s">
        <v>176</v>
      </c>
      <c r="C223" s="291"/>
      <c r="D223" s="291"/>
      <c r="E223" s="291"/>
      <c r="F223" s="291"/>
      <c r="G223" s="291"/>
      <c r="H223" s="291"/>
      <c r="I223" s="291"/>
      <c r="J223" s="292"/>
      <c r="K223" s="20"/>
    </row>
    <row r="224" spans="1:11" ht="26.45" customHeight="1" x14ac:dyDescent="0.2">
      <c r="A224" s="3" t="s">
        <v>0</v>
      </c>
      <c r="B224" s="3" t="s">
        <v>1</v>
      </c>
      <c r="C224" s="3" t="s">
        <v>2</v>
      </c>
      <c r="D224" s="3" t="s">
        <v>3</v>
      </c>
      <c r="E224" s="3" t="s">
        <v>4</v>
      </c>
      <c r="F224" s="3" t="s">
        <v>5</v>
      </c>
      <c r="G224" s="3" t="s">
        <v>6</v>
      </c>
      <c r="H224" s="37" t="s">
        <v>7</v>
      </c>
      <c r="I224" s="269"/>
      <c r="J224" s="38" t="s">
        <v>8</v>
      </c>
      <c r="K224" s="11"/>
    </row>
    <row r="225" spans="1:11" ht="22.9" customHeight="1" x14ac:dyDescent="0.2">
      <c r="A225" s="277" t="s">
        <v>68</v>
      </c>
      <c r="B225" s="293"/>
      <c r="C225" s="293"/>
      <c r="D225" s="293"/>
      <c r="E225" s="293"/>
      <c r="F225" s="293"/>
      <c r="G225" s="293"/>
      <c r="H225" s="293"/>
      <c r="I225" s="293"/>
      <c r="J225" s="294"/>
      <c r="K225" s="11"/>
    </row>
    <row r="226" spans="1:11" ht="22.9" customHeight="1" x14ac:dyDescent="0.2">
      <c r="A226" s="267" t="s">
        <v>10</v>
      </c>
      <c r="B226" s="263" t="s">
        <v>11</v>
      </c>
      <c r="C226" s="264" t="s">
        <v>243</v>
      </c>
      <c r="D226" s="250" t="s">
        <v>118</v>
      </c>
      <c r="E226" s="250">
        <v>80</v>
      </c>
      <c r="F226" s="261">
        <v>0</v>
      </c>
      <c r="G226" s="267" t="s">
        <v>296</v>
      </c>
      <c r="H226" s="261"/>
      <c r="I226" s="261" t="s">
        <v>331</v>
      </c>
      <c r="J226" s="250" t="s">
        <v>15</v>
      </c>
      <c r="K226" s="11"/>
    </row>
    <row r="227" spans="1:11" ht="22.9" customHeight="1" x14ac:dyDescent="0.2">
      <c r="A227" s="250" t="s">
        <v>166</v>
      </c>
      <c r="B227" s="265" t="s">
        <v>18</v>
      </c>
      <c r="C227" s="266" t="s">
        <v>264</v>
      </c>
      <c r="D227" s="252" t="s">
        <v>265</v>
      </c>
      <c r="E227" s="250">
        <v>68</v>
      </c>
      <c r="F227" s="261">
        <v>0</v>
      </c>
      <c r="G227" s="267" t="s">
        <v>298</v>
      </c>
      <c r="H227" s="262"/>
      <c r="I227" s="262" t="s">
        <v>331</v>
      </c>
      <c r="J227" s="250" t="s">
        <v>52</v>
      </c>
      <c r="K227" s="11"/>
    </row>
    <row r="228" spans="1:11" ht="38.25" customHeight="1" x14ac:dyDescent="0.2">
      <c r="A228" s="6" t="s">
        <v>293</v>
      </c>
      <c r="B228" s="222" t="s">
        <v>19</v>
      </c>
      <c r="C228" s="202" t="s">
        <v>299</v>
      </c>
      <c r="D228" s="203" t="s">
        <v>222</v>
      </c>
      <c r="E228" s="9">
        <v>68</v>
      </c>
      <c r="F228" s="9">
        <v>0</v>
      </c>
      <c r="G228" s="8" t="s">
        <v>300</v>
      </c>
      <c r="H228" s="10"/>
      <c r="I228" s="10" t="s">
        <v>330</v>
      </c>
      <c r="J228" s="8" t="s">
        <v>301</v>
      </c>
      <c r="K228" s="11"/>
    </row>
    <row r="229" spans="1:11" ht="37.5" customHeight="1" x14ac:dyDescent="0.2">
      <c r="A229" s="223" t="s">
        <v>23</v>
      </c>
      <c r="B229" s="224" t="s">
        <v>21</v>
      </c>
      <c r="C229" s="227" t="s">
        <v>268</v>
      </c>
      <c r="D229" s="226" t="s">
        <v>143</v>
      </c>
      <c r="E229" s="60">
        <v>66</v>
      </c>
      <c r="F229" s="9">
        <v>0</v>
      </c>
      <c r="G229" s="55" t="s">
        <v>127</v>
      </c>
      <c r="H229" s="55"/>
      <c r="I229" s="55" t="s">
        <v>331</v>
      </c>
      <c r="J229" s="8" t="s">
        <v>15</v>
      </c>
      <c r="K229" s="20"/>
    </row>
    <row r="230" spans="1:11" ht="27" customHeight="1" x14ac:dyDescent="0.2">
      <c r="A230" s="223"/>
      <c r="B230" s="224"/>
      <c r="C230" s="225"/>
      <c r="D230" s="226"/>
      <c r="E230" s="60"/>
      <c r="F230" s="9"/>
      <c r="G230" s="55"/>
      <c r="H230" s="56"/>
      <c r="I230" s="56"/>
      <c r="J230" s="8"/>
      <c r="K230" s="20"/>
    </row>
    <row r="231" spans="1:11" ht="30.75" customHeight="1" x14ac:dyDescent="0.2">
      <c r="A231" s="223"/>
      <c r="B231" s="224"/>
      <c r="C231" s="225"/>
      <c r="D231" s="226"/>
      <c r="E231" s="60"/>
      <c r="F231" s="9"/>
      <c r="G231" s="55"/>
      <c r="H231" s="56"/>
      <c r="I231" s="56"/>
      <c r="J231" s="8"/>
      <c r="K231" s="20"/>
    </row>
    <row r="232" spans="1:11" ht="10.9" customHeight="1" x14ac:dyDescent="0.2">
      <c r="A232" s="6"/>
      <c r="B232" s="7"/>
      <c r="C232" s="9"/>
      <c r="D232" s="9"/>
      <c r="E232" s="9"/>
      <c r="F232" s="9"/>
      <c r="G232" s="8"/>
      <c r="H232" s="10"/>
      <c r="I232" s="10"/>
      <c r="J232" s="8"/>
      <c r="K232" s="20"/>
    </row>
    <row r="233" spans="1:11" ht="14.45" customHeight="1" x14ac:dyDescent="0.2">
      <c r="A233" s="278" t="s">
        <v>32</v>
      </c>
      <c r="B233" s="279"/>
      <c r="C233" s="279"/>
      <c r="D233" s="280"/>
      <c r="E233" s="15">
        <f>SUM(E228:E232)</f>
        <v>134</v>
      </c>
      <c r="F233" s="16">
        <f>SUM(F228:F232)</f>
        <v>0</v>
      </c>
      <c r="G233" s="96"/>
      <c r="H233" s="18"/>
      <c r="I233" s="18"/>
      <c r="J233" s="19"/>
      <c r="K233" s="20"/>
    </row>
    <row r="234" spans="1:11" ht="14.45" customHeight="1" x14ac:dyDescent="0.2">
      <c r="A234" s="281" t="s">
        <v>33</v>
      </c>
      <c r="B234" s="282"/>
      <c r="C234" s="282"/>
      <c r="D234" s="282"/>
      <c r="E234" s="282"/>
      <c r="F234" s="282"/>
      <c r="G234" s="282"/>
      <c r="H234" s="282"/>
      <c r="I234" s="282"/>
      <c r="J234" s="283"/>
      <c r="K234" s="20"/>
    </row>
    <row r="235" spans="1:11" x14ac:dyDescent="0.2">
      <c r="A235" s="57" t="s">
        <v>0</v>
      </c>
      <c r="B235" s="57" t="s">
        <v>1</v>
      </c>
      <c r="C235" s="1" t="s">
        <v>2</v>
      </c>
      <c r="D235" s="1" t="s">
        <v>3</v>
      </c>
      <c r="E235" s="58"/>
      <c r="F235" s="58" t="s">
        <v>70</v>
      </c>
      <c r="G235" s="99" t="s">
        <v>6</v>
      </c>
      <c r="H235" s="62"/>
      <c r="I235" s="62"/>
      <c r="J235" s="57" t="s">
        <v>75</v>
      </c>
      <c r="K235" s="11"/>
    </row>
    <row r="236" spans="1:11" x14ac:dyDescent="0.2">
      <c r="A236" s="23" t="s">
        <v>34</v>
      </c>
      <c r="B236" s="23" t="s">
        <v>35</v>
      </c>
      <c r="C236" s="23"/>
      <c r="D236" s="97"/>
      <c r="E236" s="25"/>
      <c r="F236" s="25"/>
      <c r="G236" s="97"/>
      <c r="H236" s="25"/>
      <c r="I236" s="25"/>
      <c r="J236" s="25"/>
      <c r="K236" s="11"/>
    </row>
    <row r="237" spans="1:11" ht="25.15" hidden="1" customHeight="1" x14ac:dyDescent="0.2">
      <c r="A237" s="26" t="s">
        <v>110</v>
      </c>
      <c r="B237" s="7" t="s">
        <v>109</v>
      </c>
      <c r="C237" s="8"/>
      <c r="D237" s="9"/>
      <c r="E237" s="60"/>
      <c r="F237" s="9"/>
      <c r="G237" s="52"/>
      <c r="H237" s="59"/>
      <c r="I237" s="59"/>
      <c r="J237" s="8" t="s">
        <v>38</v>
      </c>
      <c r="K237" s="11"/>
    </row>
    <row r="238" spans="1:11" hidden="1" x14ac:dyDescent="0.2">
      <c r="A238" s="6" t="s">
        <v>122</v>
      </c>
      <c r="B238" s="27" t="s">
        <v>18</v>
      </c>
      <c r="C238" s="156"/>
      <c r="D238" s="47"/>
      <c r="E238" s="9"/>
      <c r="F238" s="9"/>
      <c r="G238" s="8"/>
      <c r="H238" s="10"/>
      <c r="I238" s="10"/>
      <c r="J238" s="8"/>
      <c r="K238" s="20"/>
    </row>
    <row r="239" spans="1:11" x14ac:dyDescent="0.2">
      <c r="A239" s="6"/>
      <c r="B239" s="7"/>
      <c r="C239" s="8"/>
      <c r="D239" s="9"/>
      <c r="E239" s="9"/>
      <c r="F239" s="9"/>
      <c r="G239" s="8"/>
      <c r="H239" s="10"/>
      <c r="I239" s="10"/>
      <c r="J239" s="8"/>
      <c r="K239" s="11"/>
    </row>
    <row r="240" spans="1:11" x14ac:dyDescent="0.2">
      <c r="A240" s="50"/>
      <c r="B240" s="50"/>
      <c r="C240" s="12" t="s">
        <v>32</v>
      </c>
      <c r="D240" s="50"/>
      <c r="E240" s="120">
        <f>SUM(E236:E239)</f>
        <v>0</v>
      </c>
      <c r="F240" s="120">
        <f>SUM(F236:F239)</f>
        <v>0</v>
      </c>
      <c r="G240" s="96"/>
      <c r="H240" s="17"/>
      <c r="I240" s="17"/>
      <c r="J240" s="19"/>
      <c r="K240" s="20"/>
    </row>
    <row r="241" spans="1:11" x14ac:dyDescent="0.2">
      <c r="A241" s="180"/>
      <c r="B241" s="180"/>
      <c r="C241" s="181"/>
      <c r="D241" s="180"/>
      <c r="E241" s="182"/>
      <c r="F241" s="182"/>
      <c r="G241" s="183"/>
      <c r="H241" s="184"/>
      <c r="I241" s="184"/>
      <c r="J241" s="52"/>
      <c r="K241" s="20"/>
    </row>
    <row r="242" spans="1:11" x14ac:dyDescent="0.2">
      <c r="A242" s="6"/>
      <c r="B242" s="7"/>
      <c r="C242" s="8"/>
      <c r="D242" s="9"/>
      <c r="E242" s="9"/>
      <c r="F242" s="9"/>
      <c r="G242" s="8"/>
      <c r="H242" s="10"/>
      <c r="I242" s="10"/>
      <c r="J242" s="8"/>
      <c r="K242" s="20"/>
    </row>
    <row r="243" spans="1:11" ht="23.45" customHeight="1" x14ac:dyDescent="0.2">
      <c r="A243" s="301" t="s">
        <v>76</v>
      </c>
      <c r="B243" s="302"/>
      <c r="C243" s="302"/>
      <c r="D243" s="303"/>
      <c r="E243" s="15">
        <f>E22+E66+E94+E140+E181+E215+E233</f>
        <v>1421</v>
      </c>
      <c r="F243" s="15">
        <f>F232+F221+F214+F196+F180+F161+F139+F124+F93+F65+F38+F21+F79+F239</f>
        <v>0</v>
      </c>
      <c r="G243" s="96"/>
      <c r="H243" s="18"/>
      <c r="I243" s="18"/>
      <c r="J243" s="19"/>
      <c r="K243" s="20"/>
    </row>
    <row r="244" spans="1:11" ht="23.45" customHeight="1" x14ac:dyDescent="0.2">
      <c r="A244" s="304" t="s">
        <v>77</v>
      </c>
      <c r="B244" s="305"/>
      <c r="C244" s="305"/>
      <c r="D244" s="306"/>
      <c r="E244" s="120">
        <f>E39+E80+E125+E162+E197+E222+E240</f>
        <v>302</v>
      </c>
      <c r="F244" s="120">
        <f>F232+F221+F214+F196+F180+F161+F139+F124+F93+F65+F38+F21+F79+F239</f>
        <v>0</v>
      </c>
      <c r="G244" s="173"/>
      <c r="H244" s="174"/>
      <c r="I244" s="174"/>
      <c r="J244" s="175"/>
      <c r="K244" s="20"/>
    </row>
    <row r="245" spans="1:11" ht="23.45" customHeight="1" x14ac:dyDescent="0.2">
      <c r="A245" s="295" t="s">
        <v>78</v>
      </c>
      <c r="B245" s="296"/>
      <c r="C245" s="296"/>
      <c r="D245" s="297"/>
      <c r="E245" s="176">
        <f>E243+E244</f>
        <v>1723</v>
      </c>
      <c r="F245" s="176">
        <f>F233+F222+F215+F197+F181+F162+F140+F125+F94+F66+F39+F22+F80+F240</f>
        <v>150</v>
      </c>
      <c r="G245" s="177"/>
      <c r="H245" s="178"/>
      <c r="I245" s="178"/>
      <c r="J245" s="179"/>
      <c r="K245" s="20"/>
    </row>
    <row r="246" spans="1:11" x14ac:dyDescent="0.2">
      <c r="A246" s="298" t="s">
        <v>79</v>
      </c>
      <c r="B246" s="299"/>
      <c r="C246" s="299"/>
      <c r="D246" s="299"/>
      <c r="E246" s="299"/>
      <c r="F246" s="299"/>
      <c r="G246" s="299"/>
      <c r="H246" s="299"/>
      <c r="I246" s="299"/>
      <c r="J246" s="300"/>
      <c r="K246" s="51"/>
    </row>
    <row r="247" spans="1:11" x14ac:dyDescent="0.2">
      <c r="A247" s="63" t="s">
        <v>66</v>
      </c>
      <c r="B247" s="64" t="s">
        <v>1</v>
      </c>
      <c r="C247" s="65" t="s">
        <v>80</v>
      </c>
      <c r="D247" s="65" t="s">
        <v>81</v>
      </c>
      <c r="E247" s="63"/>
      <c r="F247" s="63" t="s">
        <v>82</v>
      </c>
      <c r="G247" s="65" t="s">
        <v>83</v>
      </c>
      <c r="H247" s="66"/>
      <c r="I247" s="66"/>
      <c r="J247" s="67" t="s">
        <v>84</v>
      </c>
      <c r="K247" s="20"/>
    </row>
    <row r="248" spans="1:11" x14ac:dyDescent="0.2">
      <c r="A248" s="68"/>
      <c r="B248" s="69"/>
      <c r="C248" s="52"/>
      <c r="D248" s="102"/>
      <c r="E248" s="70"/>
      <c r="F248" s="70"/>
      <c r="G248" s="71"/>
      <c r="H248" s="72"/>
      <c r="I248" s="72"/>
      <c r="J248" s="73"/>
      <c r="K248" s="20"/>
    </row>
    <row r="249" spans="1:11" x14ac:dyDescent="0.2">
      <c r="A249" s="74"/>
      <c r="B249" s="75"/>
      <c r="C249" s="76"/>
      <c r="D249" s="65"/>
      <c r="E249" s="77"/>
      <c r="F249" s="77"/>
      <c r="G249" s="78"/>
      <c r="H249" s="78"/>
      <c r="I249" s="78"/>
      <c r="J249" s="79"/>
      <c r="K249" s="20"/>
    </row>
    <row r="250" spans="1:11" x14ac:dyDescent="0.2">
      <c r="A250" s="80"/>
      <c r="B250" s="81"/>
      <c r="C250" s="81"/>
      <c r="D250" s="103"/>
      <c r="E250" s="82"/>
      <c r="F250" s="82"/>
      <c r="G250" s="81"/>
      <c r="H250" s="80"/>
      <c r="I250" s="80"/>
      <c r="J250" s="21"/>
      <c r="K250" s="20"/>
    </row>
    <row r="251" spans="1:11" x14ac:dyDescent="0.2">
      <c r="A251" s="80"/>
      <c r="B251" s="81"/>
      <c r="C251" s="81"/>
      <c r="D251" s="103"/>
      <c r="E251" s="82"/>
      <c r="F251" s="82"/>
      <c r="G251" s="81"/>
      <c r="H251" s="80"/>
      <c r="I251" s="80"/>
      <c r="J251" s="21"/>
      <c r="K251" s="20"/>
    </row>
    <row r="252" spans="1:11" x14ac:dyDescent="0.2">
      <c r="A252" s="80"/>
      <c r="B252" s="81"/>
      <c r="C252" s="81"/>
      <c r="D252" s="103"/>
      <c r="E252" s="82"/>
      <c r="F252" s="82"/>
      <c r="G252" s="81"/>
      <c r="H252" s="80"/>
      <c r="I252" s="80"/>
      <c r="J252" s="21"/>
      <c r="K252" s="20"/>
    </row>
    <row r="253" spans="1:11" x14ac:dyDescent="0.2">
      <c r="A253" s="2"/>
      <c r="B253" s="21"/>
      <c r="C253" s="21"/>
      <c r="D253" s="101"/>
      <c r="E253" s="22"/>
      <c r="F253" s="22"/>
      <c r="G253" s="21"/>
      <c r="H253" s="2"/>
      <c r="I253" s="2"/>
      <c r="J253" s="21"/>
    </row>
    <row r="254" spans="1:11" x14ac:dyDescent="0.2">
      <c r="A254" s="2"/>
      <c r="B254" s="21" t="s">
        <v>85</v>
      </c>
      <c r="C254" s="21"/>
      <c r="D254" s="101"/>
      <c r="E254" s="22"/>
      <c r="F254" s="22"/>
      <c r="G254" s="21"/>
      <c r="H254" s="2"/>
      <c r="I254" s="2"/>
      <c r="J254" s="21"/>
    </row>
  </sheetData>
  <mergeCells count="31">
    <mergeCell ref="A225:J225"/>
    <mergeCell ref="A233:D233"/>
    <mergeCell ref="A234:J234"/>
    <mergeCell ref="A245:D245"/>
    <mergeCell ref="A246:J246"/>
    <mergeCell ref="A243:D243"/>
    <mergeCell ref="A244:D244"/>
    <mergeCell ref="B223:J223"/>
    <mergeCell ref="A128:J128"/>
    <mergeCell ref="A140:D140"/>
    <mergeCell ref="A141:J141"/>
    <mergeCell ref="B163:J163"/>
    <mergeCell ref="A165:J165"/>
    <mergeCell ref="A181:D181"/>
    <mergeCell ref="A182:J182"/>
    <mergeCell ref="B198:J198"/>
    <mergeCell ref="A200:J200"/>
    <mergeCell ref="A215:D215"/>
    <mergeCell ref="A216:J216"/>
    <mergeCell ref="B126:J126"/>
    <mergeCell ref="B4:J4"/>
    <mergeCell ref="A6:J6"/>
    <mergeCell ref="A22:D22"/>
    <mergeCell ref="A24:J24"/>
    <mergeCell ref="B40:J40"/>
    <mergeCell ref="A42:J42"/>
    <mergeCell ref="A66:D66"/>
    <mergeCell ref="A67:J67"/>
    <mergeCell ref="B81:J81"/>
    <mergeCell ref="A83:J83"/>
    <mergeCell ref="A95:J95"/>
  </mergeCells>
  <phoneticPr fontId="19" type="noConversion"/>
  <pageMargins left="0.7" right="0.7" top="0.75" bottom="0.75" header="0.3" footer="0.3"/>
  <pageSetup paperSize="9" scale="1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3770-B292-4628-9FD9-E35359291C6A}">
  <sheetPr>
    <pageSetUpPr fitToPage="1"/>
  </sheetPr>
  <dimension ref="A1:M103"/>
  <sheetViews>
    <sheetView zoomScale="90" zoomScaleNormal="90" workbookViewId="0">
      <pane ySplit="3" topLeftCell="A76" activePane="bottomLeft" state="frozen"/>
      <selection pane="bottomLeft" activeCell="F89" sqref="F89"/>
    </sheetView>
  </sheetViews>
  <sheetFormatPr defaultRowHeight="15" x14ac:dyDescent="0.2"/>
  <cols>
    <col min="1" max="1" width="33.49609375" customWidth="1"/>
    <col min="2" max="2" width="31.4765625" style="95" customWidth="1"/>
    <col min="3" max="3" width="15.6015625" customWidth="1"/>
    <col min="4" max="4" width="22.328125" customWidth="1"/>
    <col min="5" max="5" width="20.58203125" customWidth="1"/>
    <col min="6" max="6" width="20.04296875" customWidth="1"/>
    <col min="7" max="7" width="20.4453125" customWidth="1"/>
    <col min="8" max="8" width="10.0859375" customWidth="1"/>
    <col min="11" max="11" width="29.99609375" customWidth="1"/>
  </cols>
  <sheetData>
    <row r="1" spans="1:13" ht="40.9" customHeight="1" thickBot="1" x14ac:dyDescent="0.25">
      <c r="A1" s="83" t="s">
        <v>86</v>
      </c>
      <c r="B1" s="151" t="s">
        <v>177</v>
      </c>
      <c r="C1" s="84"/>
      <c r="D1" s="84"/>
      <c r="G1" s="157"/>
    </row>
    <row r="2" spans="1:13" ht="15.75" thickBot="1" x14ac:dyDescent="0.25">
      <c r="A2" s="85"/>
      <c r="B2" s="106" t="s">
        <v>87</v>
      </c>
      <c r="C2" s="88" t="s">
        <v>88</v>
      </c>
      <c r="D2" s="89" t="s">
        <v>89</v>
      </c>
      <c r="E2" s="127" t="s">
        <v>90</v>
      </c>
      <c r="F2" s="89" t="s">
        <v>91</v>
      </c>
      <c r="G2" s="89" t="s">
        <v>92</v>
      </c>
      <c r="H2" s="89" t="s">
        <v>93</v>
      </c>
    </row>
    <row r="3" spans="1:13" ht="33" customHeight="1" thickBot="1" x14ac:dyDescent="0.3">
      <c r="A3" s="83" t="s">
        <v>94</v>
      </c>
      <c r="B3" s="105"/>
      <c r="C3" s="86"/>
      <c r="D3" s="86"/>
      <c r="H3" s="238"/>
      <c r="K3" s="196" t="s">
        <v>95</v>
      </c>
    </row>
    <row r="4" spans="1:13" ht="22.9" customHeight="1" thickBot="1" x14ac:dyDescent="0.25">
      <c r="A4" s="87" t="s">
        <v>66</v>
      </c>
      <c r="B4" s="106" t="s">
        <v>87</v>
      </c>
      <c r="C4" s="140" t="s">
        <v>88</v>
      </c>
      <c r="D4" s="127" t="s">
        <v>89</v>
      </c>
      <c r="E4" s="141" t="s">
        <v>90</v>
      </c>
      <c r="F4" s="125" t="s">
        <v>91</v>
      </c>
      <c r="G4" s="161" t="s">
        <v>67</v>
      </c>
      <c r="H4" s="114"/>
      <c r="J4" s="195"/>
      <c r="K4" s="158"/>
    </row>
    <row r="5" spans="1:13" ht="33" customHeight="1" thickBot="1" x14ac:dyDescent="0.35">
      <c r="A5" s="148" t="s">
        <v>178</v>
      </c>
      <c r="B5" s="112"/>
      <c r="C5" s="133"/>
      <c r="D5" s="139"/>
      <c r="E5" s="142"/>
      <c r="F5" s="126"/>
      <c r="G5" s="162"/>
      <c r="H5" s="169">
        <f>SUM(H6:H24)</f>
        <v>125</v>
      </c>
      <c r="K5" s="198" t="s">
        <v>96</v>
      </c>
    </row>
    <row r="6" spans="1:13" ht="51" customHeight="1" x14ac:dyDescent="0.2">
      <c r="A6" s="107"/>
      <c r="B6" s="8" t="s">
        <v>179</v>
      </c>
      <c r="C6" s="129">
        <v>0.5</v>
      </c>
      <c r="D6" s="144" t="s">
        <v>107</v>
      </c>
      <c r="E6" s="188"/>
      <c r="F6" s="188" t="s">
        <v>315</v>
      </c>
      <c r="G6" s="163" t="s">
        <v>305</v>
      </c>
      <c r="H6" s="114">
        <v>30</v>
      </c>
      <c r="K6" s="197" t="s">
        <v>97</v>
      </c>
      <c r="L6" s="168"/>
      <c r="M6" s="168"/>
    </row>
    <row r="7" spans="1:13" ht="58.9" customHeight="1" x14ac:dyDescent="0.2">
      <c r="A7" s="107"/>
      <c r="B7" s="8" t="s">
        <v>185</v>
      </c>
      <c r="C7" s="129">
        <v>0.5</v>
      </c>
      <c r="D7" s="144" t="s">
        <v>186</v>
      </c>
      <c r="E7" s="188"/>
      <c r="F7" s="188"/>
      <c r="G7" s="163" t="s">
        <v>18</v>
      </c>
      <c r="H7" s="114">
        <v>12</v>
      </c>
      <c r="K7" s="197"/>
      <c r="L7" s="168"/>
      <c r="M7" s="168"/>
    </row>
    <row r="8" spans="1:13" ht="54.6" customHeight="1" x14ac:dyDescent="0.2">
      <c r="A8" s="107"/>
      <c r="B8" s="218" t="s">
        <v>146</v>
      </c>
      <c r="C8" s="129">
        <v>0.70833333333333337</v>
      </c>
      <c r="D8" s="144" t="s">
        <v>107</v>
      </c>
      <c r="E8" s="188" t="s">
        <v>167</v>
      </c>
      <c r="F8" s="190"/>
      <c r="G8" s="163" t="s">
        <v>305</v>
      </c>
      <c r="H8" s="114">
        <v>66</v>
      </c>
      <c r="K8" s="197" t="s">
        <v>98</v>
      </c>
      <c r="L8" s="168"/>
      <c r="M8" s="168"/>
    </row>
    <row r="9" spans="1:13" ht="57.6" customHeight="1" x14ac:dyDescent="0.2">
      <c r="A9" s="107"/>
      <c r="B9" s="8" t="s">
        <v>188</v>
      </c>
      <c r="C9" s="129">
        <v>0.5</v>
      </c>
      <c r="D9" s="144" t="s">
        <v>107</v>
      </c>
      <c r="E9" s="188"/>
      <c r="F9" s="190"/>
      <c r="G9" s="163" t="s">
        <v>305</v>
      </c>
      <c r="H9" s="114">
        <v>17</v>
      </c>
      <c r="K9" s="167"/>
      <c r="L9" s="168"/>
      <c r="M9" s="168"/>
    </row>
    <row r="10" spans="1:13" ht="58.15" hidden="1" customHeight="1" x14ac:dyDescent="0.2">
      <c r="A10" s="107"/>
      <c r="B10" s="8"/>
      <c r="C10" s="129"/>
      <c r="D10" s="144"/>
      <c r="E10" s="188"/>
      <c r="F10" s="192"/>
      <c r="G10" s="163"/>
      <c r="H10" s="114"/>
      <c r="K10" s="167"/>
      <c r="L10" s="168"/>
      <c r="M10" s="168"/>
    </row>
    <row r="11" spans="1:13" ht="43.15" hidden="1" customHeight="1" x14ac:dyDescent="0.2">
      <c r="A11" s="107"/>
      <c r="B11" s="8"/>
      <c r="C11" s="129"/>
      <c r="D11" s="144"/>
      <c r="E11" s="188"/>
      <c r="F11" s="192"/>
      <c r="G11" s="165"/>
      <c r="H11" s="114"/>
      <c r="K11" s="167"/>
      <c r="L11" s="168"/>
      <c r="M11" s="168"/>
    </row>
    <row r="12" spans="1:13" ht="13.9" hidden="1" customHeight="1" x14ac:dyDescent="0.2">
      <c r="A12" s="107"/>
      <c r="B12" s="8"/>
      <c r="C12" s="129">
        <v>0.71875</v>
      </c>
      <c r="D12" s="144"/>
      <c r="E12" s="188"/>
      <c r="F12" s="192"/>
      <c r="G12" s="163"/>
      <c r="H12" s="114"/>
      <c r="K12" s="167"/>
      <c r="L12" s="168"/>
      <c r="M12" s="168"/>
    </row>
    <row r="13" spans="1:13" ht="13.9" hidden="1" customHeight="1" x14ac:dyDescent="0.2">
      <c r="A13" s="107"/>
      <c r="B13" s="8"/>
      <c r="C13" s="129">
        <v>0.5</v>
      </c>
      <c r="D13" s="144"/>
      <c r="E13" s="188"/>
      <c r="F13" s="190"/>
      <c r="G13" s="163"/>
      <c r="H13" s="114"/>
      <c r="K13" s="167"/>
      <c r="L13" s="168"/>
      <c r="M13" s="168"/>
    </row>
    <row r="14" spans="1:13" ht="13.9" hidden="1" customHeight="1" x14ac:dyDescent="0.2">
      <c r="A14" s="107"/>
      <c r="B14" s="8"/>
      <c r="C14" s="129">
        <v>0.70833333333333337</v>
      </c>
      <c r="D14" s="144"/>
      <c r="E14" s="188"/>
      <c r="F14" s="190"/>
      <c r="G14" s="163"/>
      <c r="H14" s="114"/>
      <c r="K14" s="167"/>
      <c r="L14" s="168"/>
      <c r="M14" s="168"/>
    </row>
    <row r="15" spans="1:13" ht="13.9" hidden="1" customHeight="1" x14ac:dyDescent="0.2">
      <c r="A15" s="107"/>
      <c r="B15" s="8"/>
      <c r="C15" s="129">
        <v>0.51041666666666663</v>
      </c>
      <c r="D15" s="144"/>
      <c r="E15" s="188"/>
      <c r="F15" s="190"/>
      <c r="G15" s="163"/>
      <c r="H15" s="114"/>
      <c r="K15" s="167"/>
      <c r="L15" s="168"/>
      <c r="M15" s="168"/>
    </row>
    <row r="16" spans="1:13" ht="13.9" hidden="1" customHeight="1" x14ac:dyDescent="0.2">
      <c r="A16" s="107"/>
      <c r="B16" s="8"/>
      <c r="C16" s="129">
        <v>0.52083333333333337</v>
      </c>
      <c r="D16" s="144"/>
      <c r="E16" s="188"/>
      <c r="F16" s="190"/>
      <c r="G16" s="163"/>
      <c r="H16" s="114"/>
      <c r="K16" s="167"/>
      <c r="L16" s="168"/>
      <c r="M16" s="168"/>
    </row>
    <row r="17" spans="1:13" ht="13.9" hidden="1" customHeight="1" x14ac:dyDescent="0.2">
      <c r="A17" s="107"/>
      <c r="B17" s="8"/>
      <c r="C17" s="129">
        <v>0.52083333333333337</v>
      </c>
      <c r="D17" s="144"/>
      <c r="E17" s="188"/>
      <c r="F17" s="192"/>
      <c r="G17" s="165"/>
      <c r="H17" s="114"/>
      <c r="K17" s="167"/>
      <c r="L17" s="168"/>
      <c r="M17" s="168"/>
    </row>
    <row r="18" spans="1:13" ht="13.9" hidden="1" customHeight="1" x14ac:dyDescent="0.2">
      <c r="A18" s="107"/>
      <c r="B18" s="211"/>
      <c r="C18" s="129">
        <v>0.54166666666666663</v>
      </c>
      <c r="D18" s="144"/>
      <c r="E18" s="188"/>
      <c r="F18" s="192"/>
      <c r="G18" s="165"/>
      <c r="H18" s="114"/>
      <c r="K18" s="167"/>
      <c r="L18" s="168"/>
      <c r="M18" s="168"/>
    </row>
    <row r="19" spans="1:13" ht="13.9" hidden="1" customHeight="1" x14ac:dyDescent="0.2">
      <c r="A19" s="107"/>
      <c r="B19" s="8"/>
      <c r="C19" s="129">
        <v>0.6875</v>
      </c>
      <c r="D19" s="144"/>
      <c r="E19" s="188"/>
      <c r="F19" s="192"/>
      <c r="G19" s="163"/>
      <c r="H19" s="114"/>
      <c r="K19" s="167"/>
      <c r="L19" s="168"/>
      <c r="M19" s="168"/>
    </row>
    <row r="20" spans="1:13" ht="13.9" hidden="1" customHeight="1" x14ac:dyDescent="0.2">
      <c r="A20" s="107"/>
      <c r="B20" s="8"/>
      <c r="C20" s="129">
        <v>0.71875</v>
      </c>
      <c r="D20" s="144"/>
      <c r="E20" s="188"/>
      <c r="F20" s="192"/>
      <c r="G20" s="163"/>
      <c r="H20" s="114"/>
      <c r="K20" s="167"/>
      <c r="L20" s="168"/>
      <c r="M20" s="168"/>
    </row>
    <row r="21" spans="1:13" ht="13.9" hidden="1" customHeight="1" x14ac:dyDescent="0.2">
      <c r="A21" s="107"/>
      <c r="B21" s="8"/>
      <c r="C21" s="129">
        <v>0.54166666666666663</v>
      </c>
      <c r="D21" s="144"/>
      <c r="E21" s="188"/>
      <c r="F21" s="192"/>
      <c r="G21" s="163"/>
      <c r="H21" s="114"/>
      <c r="K21" s="167"/>
      <c r="L21" s="168"/>
      <c r="M21" s="168"/>
    </row>
    <row r="22" spans="1:13" ht="13.9" hidden="1" customHeight="1" x14ac:dyDescent="0.2">
      <c r="A22" s="107"/>
      <c r="B22" s="8"/>
      <c r="C22" s="129"/>
      <c r="D22" s="143"/>
      <c r="E22" s="188"/>
      <c r="F22" s="192"/>
      <c r="G22" s="163"/>
      <c r="H22" s="114"/>
      <c r="K22" s="167"/>
      <c r="L22" s="168"/>
      <c r="M22" s="168"/>
    </row>
    <row r="23" spans="1:13" ht="13.9" hidden="1" customHeight="1" x14ac:dyDescent="0.2">
      <c r="A23" s="107"/>
      <c r="B23" s="8"/>
      <c r="C23" s="129">
        <v>0.72916666666666663</v>
      </c>
      <c r="D23" s="143"/>
      <c r="E23" s="188"/>
      <c r="F23" s="192"/>
      <c r="G23" s="163"/>
      <c r="H23" s="114"/>
      <c r="K23" s="167"/>
      <c r="L23" s="168"/>
      <c r="M23" s="168"/>
    </row>
    <row r="24" spans="1:13" hidden="1" x14ac:dyDescent="0.2">
      <c r="A24" s="107"/>
      <c r="B24" s="90"/>
      <c r="C24" s="131"/>
      <c r="D24" s="143"/>
      <c r="E24" s="188"/>
      <c r="F24" s="192"/>
      <c r="G24" s="163"/>
      <c r="H24" s="114"/>
      <c r="K24" s="167"/>
      <c r="L24" s="168"/>
      <c r="M24" s="168"/>
    </row>
    <row r="25" spans="1:13" ht="17.25" thickBot="1" x14ac:dyDescent="0.3">
      <c r="A25" s="107"/>
      <c r="B25" s="8" t="s">
        <v>195</v>
      </c>
      <c r="C25" s="131">
        <v>0.54166666666666663</v>
      </c>
      <c r="D25" s="143" t="s">
        <v>198</v>
      </c>
      <c r="E25" s="188"/>
      <c r="F25" s="192"/>
      <c r="G25" s="163" t="s">
        <v>58</v>
      </c>
      <c r="H25" s="166">
        <v>8</v>
      </c>
    </row>
    <row r="26" spans="1:13" ht="56.25" customHeight="1" thickBot="1" x14ac:dyDescent="0.35">
      <c r="A26" s="147" t="s">
        <v>171</v>
      </c>
      <c r="B26" s="110"/>
      <c r="C26" s="132"/>
      <c r="D26" s="138"/>
      <c r="E26" s="189"/>
      <c r="F26" s="193"/>
      <c r="G26" s="164"/>
      <c r="H26" s="200">
        <f>SUM(H27:H44)</f>
        <v>110</v>
      </c>
    </row>
    <row r="27" spans="1:13" ht="66.75" customHeight="1" x14ac:dyDescent="0.2">
      <c r="A27" s="91"/>
      <c r="B27" s="8" t="s">
        <v>134</v>
      </c>
      <c r="C27" s="129">
        <v>0.69791666666666663</v>
      </c>
      <c r="D27" s="144" t="s">
        <v>99</v>
      </c>
      <c r="E27" s="188"/>
      <c r="F27" s="188"/>
      <c r="G27" s="163" t="s">
        <v>14</v>
      </c>
      <c r="H27" s="114">
        <v>1</v>
      </c>
      <c r="I27" s="158"/>
    </row>
    <row r="28" spans="1:13" ht="46.9" customHeight="1" x14ac:dyDescent="0.2">
      <c r="A28" s="91"/>
      <c r="B28" s="8" t="s">
        <v>200</v>
      </c>
      <c r="C28" s="129">
        <v>0.52083333333333337</v>
      </c>
      <c r="D28" s="144" t="s">
        <v>107</v>
      </c>
      <c r="E28" s="188"/>
      <c r="F28" s="190"/>
      <c r="G28" s="163" t="s">
        <v>305</v>
      </c>
      <c r="H28" s="114">
        <v>15</v>
      </c>
      <c r="I28" s="158"/>
    </row>
    <row r="29" spans="1:13" ht="46.9" customHeight="1" x14ac:dyDescent="0.2">
      <c r="A29" s="91"/>
      <c r="B29" s="221" t="s">
        <v>124</v>
      </c>
      <c r="C29" s="129">
        <v>0.70833333333333337</v>
      </c>
      <c r="D29" s="144" t="s">
        <v>99</v>
      </c>
      <c r="E29" s="188"/>
      <c r="F29" s="190"/>
      <c r="G29" s="163" t="s">
        <v>306</v>
      </c>
      <c r="H29" s="114">
        <v>1</v>
      </c>
      <c r="I29" s="158"/>
    </row>
    <row r="30" spans="1:13" ht="46.9" customHeight="1" x14ac:dyDescent="0.2">
      <c r="A30" s="91"/>
      <c r="B30" s="221" t="s">
        <v>204</v>
      </c>
      <c r="C30" s="129">
        <v>0.5</v>
      </c>
      <c r="D30" s="144" t="s">
        <v>107</v>
      </c>
      <c r="E30" s="188"/>
      <c r="F30" s="188" t="s">
        <v>316</v>
      </c>
      <c r="G30" s="163" t="s">
        <v>305</v>
      </c>
      <c r="H30" s="114">
        <v>30</v>
      </c>
      <c r="I30" s="158"/>
    </row>
    <row r="31" spans="1:13" ht="69.75" customHeight="1" x14ac:dyDescent="0.2">
      <c r="A31" s="91"/>
      <c r="B31" s="8" t="s">
        <v>165</v>
      </c>
      <c r="C31" s="129">
        <v>0.70833333333333337</v>
      </c>
      <c r="D31" s="144" t="s">
        <v>107</v>
      </c>
      <c r="E31" s="188" t="s">
        <v>168</v>
      </c>
      <c r="F31" s="192"/>
      <c r="G31" s="163" t="s">
        <v>305</v>
      </c>
      <c r="H31" s="114">
        <v>53</v>
      </c>
      <c r="I31" s="158"/>
    </row>
    <row r="32" spans="1:13" ht="49.15" customHeight="1" x14ac:dyDescent="0.2">
      <c r="A32" s="91"/>
      <c r="B32" s="8" t="s">
        <v>207</v>
      </c>
      <c r="C32" s="172">
        <v>0.5</v>
      </c>
      <c r="D32" s="143" t="s">
        <v>211</v>
      </c>
      <c r="E32" s="188"/>
      <c r="F32" s="192"/>
      <c r="G32" s="163" t="s">
        <v>37</v>
      </c>
      <c r="H32" s="114">
        <v>10</v>
      </c>
    </row>
    <row r="33" spans="1:9" ht="72" customHeight="1" x14ac:dyDescent="0.2">
      <c r="A33" s="91"/>
      <c r="B33" s="8"/>
      <c r="C33" s="129"/>
      <c r="D33" s="144"/>
      <c r="E33" s="188"/>
      <c r="F33" s="192"/>
      <c r="G33" s="163"/>
      <c r="H33" s="114"/>
    </row>
    <row r="34" spans="1:9" ht="22.5" hidden="1" customHeight="1" x14ac:dyDescent="0.2">
      <c r="A34" s="91"/>
      <c r="B34" s="8"/>
      <c r="C34" s="129"/>
      <c r="D34" s="144"/>
      <c r="E34" s="188"/>
      <c r="F34" s="192"/>
      <c r="G34" s="7"/>
      <c r="H34" s="114"/>
    </row>
    <row r="35" spans="1:9" ht="38.450000000000003" hidden="1" customHeight="1" x14ac:dyDescent="0.2">
      <c r="A35" s="91"/>
      <c r="B35" s="8"/>
      <c r="C35" s="129"/>
      <c r="D35" s="144"/>
      <c r="E35" s="188"/>
      <c r="F35" s="192"/>
      <c r="G35" s="163"/>
      <c r="H35" s="114"/>
    </row>
    <row r="36" spans="1:9" ht="48.6" hidden="1" customHeight="1" x14ac:dyDescent="0.2">
      <c r="A36" s="91"/>
      <c r="B36" s="40"/>
      <c r="C36" s="129"/>
      <c r="D36" s="144"/>
      <c r="E36" s="188"/>
      <c r="F36" s="190"/>
      <c r="G36" s="171"/>
      <c r="H36" s="114"/>
    </row>
    <row r="37" spans="1:9" ht="43.15" hidden="1" customHeight="1" x14ac:dyDescent="0.2">
      <c r="A37" s="91"/>
      <c r="B37" s="8"/>
      <c r="C37" s="129"/>
      <c r="D37" s="144"/>
      <c r="E37" s="188"/>
      <c r="F37" s="192"/>
      <c r="G37" s="163"/>
      <c r="H37" s="114"/>
    </row>
    <row r="38" spans="1:9" ht="48.6" hidden="1" customHeight="1" x14ac:dyDescent="0.2">
      <c r="A38" s="91"/>
      <c r="B38" s="8"/>
      <c r="C38" s="129">
        <v>0.52083333333333337</v>
      </c>
      <c r="D38" s="144"/>
      <c r="E38" s="188"/>
      <c r="F38" s="192"/>
      <c r="G38" s="171"/>
      <c r="H38" s="114"/>
    </row>
    <row r="39" spans="1:9" ht="47.45" hidden="1" customHeight="1" x14ac:dyDescent="0.2">
      <c r="A39" s="91"/>
      <c r="B39" s="8"/>
      <c r="C39" s="129">
        <v>0.625</v>
      </c>
      <c r="D39" s="143"/>
      <c r="E39" s="188"/>
      <c r="F39" s="192"/>
      <c r="G39" s="165"/>
      <c r="H39" s="114"/>
    </row>
    <row r="40" spans="1:9" ht="47.45" hidden="1" customHeight="1" x14ac:dyDescent="0.2">
      <c r="A40" s="91"/>
      <c r="B40" s="40"/>
      <c r="C40" s="129">
        <v>0.375</v>
      </c>
      <c r="D40" s="144"/>
      <c r="E40" s="188"/>
      <c r="F40" s="192"/>
      <c r="G40" s="165"/>
      <c r="H40" s="114"/>
    </row>
    <row r="41" spans="1:9" ht="47.45" hidden="1" customHeight="1" x14ac:dyDescent="0.2">
      <c r="A41" s="91"/>
      <c r="B41" s="8"/>
      <c r="C41" s="129">
        <v>0.6875</v>
      </c>
      <c r="D41" s="143"/>
      <c r="E41" s="188"/>
      <c r="F41" s="192"/>
      <c r="G41" s="165"/>
      <c r="H41" s="114"/>
    </row>
    <row r="42" spans="1:9" ht="31.9" hidden="1" customHeight="1" x14ac:dyDescent="0.2">
      <c r="A42" s="91"/>
      <c r="B42" s="40"/>
      <c r="C42" s="129"/>
      <c r="D42" s="143"/>
      <c r="E42" s="188"/>
      <c r="F42" s="192"/>
      <c r="G42" s="165"/>
      <c r="H42" s="114"/>
    </row>
    <row r="43" spans="1:9" ht="37.9" hidden="1" customHeight="1" x14ac:dyDescent="0.2">
      <c r="A43" s="91"/>
      <c r="B43" s="8"/>
      <c r="C43" s="159">
        <v>0.79166666666666663</v>
      </c>
      <c r="D43" s="160"/>
      <c r="E43" s="190"/>
      <c r="F43" s="192"/>
      <c r="G43" s="163"/>
      <c r="H43" s="114"/>
    </row>
    <row r="44" spans="1:9" ht="21" customHeight="1" thickBot="1" x14ac:dyDescent="0.25">
      <c r="A44" s="91"/>
      <c r="B44" s="109"/>
      <c r="C44" s="130"/>
      <c r="D44" s="145"/>
      <c r="E44" s="191"/>
      <c r="F44" s="194"/>
      <c r="G44" s="163"/>
      <c r="H44" s="114"/>
    </row>
    <row r="45" spans="1:9" ht="42" customHeight="1" thickBot="1" x14ac:dyDescent="0.35">
      <c r="A45" s="146" t="s">
        <v>172</v>
      </c>
      <c r="B45" s="111"/>
      <c r="C45" s="124"/>
      <c r="D45" s="185"/>
      <c r="E45" s="189"/>
      <c r="F45" s="193"/>
      <c r="G45" s="164"/>
      <c r="H45" s="169">
        <f>SUM(H46:H56)</f>
        <v>210</v>
      </c>
      <c r="I45" s="158"/>
    </row>
    <row r="46" spans="1:9" ht="42" customHeight="1" x14ac:dyDescent="0.3">
      <c r="A46" s="146"/>
      <c r="B46" s="40" t="s">
        <v>216</v>
      </c>
      <c r="C46" s="243">
        <v>0.3125</v>
      </c>
      <c r="D46" s="244" t="s">
        <v>217</v>
      </c>
      <c r="E46" s="239"/>
      <c r="F46" s="240"/>
      <c r="G46" s="241" t="s">
        <v>121</v>
      </c>
      <c r="H46" s="242">
        <v>40</v>
      </c>
      <c r="I46" s="158"/>
    </row>
    <row r="47" spans="1:9" ht="66" customHeight="1" x14ac:dyDescent="0.2">
      <c r="A47" s="92"/>
      <c r="B47" s="40" t="s">
        <v>219</v>
      </c>
      <c r="C47" s="129">
        <v>0.5</v>
      </c>
      <c r="D47" s="144" t="s">
        <v>100</v>
      </c>
      <c r="E47" s="191"/>
      <c r="F47" s="188" t="s">
        <v>316</v>
      </c>
      <c r="G47" s="163" t="s">
        <v>305</v>
      </c>
      <c r="H47" s="114">
        <v>30</v>
      </c>
    </row>
    <row r="48" spans="1:9" ht="66" customHeight="1" x14ac:dyDescent="0.2">
      <c r="A48" s="92"/>
      <c r="B48" s="40" t="s">
        <v>146</v>
      </c>
      <c r="C48" s="129">
        <v>0.70833333333333337</v>
      </c>
      <c r="D48" s="144" t="s">
        <v>100</v>
      </c>
      <c r="E48" s="191" t="s">
        <v>167</v>
      </c>
      <c r="F48" s="194"/>
      <c r="G48" s="163"/>
      <c r="H48" s="114">
        <v>65</v>
      </c>
    </row>
    <row r="49" spans="1:9" ht="41.45" customHeight="1" x14ac:dyDescent="0.2">
      <c r="A49" s="92"/>
      <c r="B49" s="8" t="s">
        <v>221</v>
      </c>
      <c r="C49" s="129">
        <v>0.70833333333333337</v>
      </c>
      <c r="D49" s="144" t="s">
        <v>100</v>
      </c>
      <c r="E49" s="188" t="s">
        <v>167</v>
      </c>
      <c r="F49" s="192"/>
      <c r="G49" s="163"/>
      <c r="H49" s="114">
        <v>48</v>
      </c>
    </row>
    <row r="50" spans="1:9" ht="72" customHeight="1" x14ac:dyDescent="0.2">
      <c r="A50" s="92"/>
      <c r="B50" s="8" t="s">
        <v>200</v>
      </c>
      <c r="C50" s="129">
        <v>0.52083333333333337</v>
      </c>
      <c r="D50" s="144" t="s">
        <v>100</v>
      </c>
      <c r="E50" s="188"/>
      <c r="F50" s="190"/>
      <c r="G50" s="163" t="s">
        <v>305</v>
      </c>
      <c r="H50" s="114">
        <v>15</v>
      </c>
    </row>
    <row r="51" spans="1:9" ht="75" customHeight="1" x14ac:dyDescent="0.2">
      <c r="A51" s="92"/>
      <c r="B51" s="218" t="s">
        <v>232</v>
      </c>
      <c r="C51" s="129">
        <v>0.54166666666666663</v>
      </c>
      <c r="D51" s="144" t="s">
        <v>236</v>
      </c>
      <c r="E51" s="188"/>
      <c r="F51" s="188" t="s">
        <v>120</v>
      </c>
      <c r="G51" s="163"/>
      <c r="H51" s="114">
        <v>12</v>
      </c>
    </row>
    <row r="52" spans="1:9" ht="80.25" customHeight="1" x14ac:dyDescent="0.2">
      <c r="A52" s="92"/>
      <c r="B52" s="8"/>
      <c r="C52" s="129"/>
      <c r="D52" s="144"/>
      <c r="E52" s="188"/>
      <c r="F52" s="192"/>
      <c r="G52" s="163"/>
      <c r="H52" s="114"/>
    </row>
    <row r="53" spans="1:9" ht="46.9" customHeight="1" x14ac:dyDescent="0.2">
      <c r="A53" s="92"/>
      <c r="B53" s="218"/>
      <c r="C53" s="129"/>
      <c r="D53" s="144"/>
      <c r="E53" s="188"/>
      <c r="F53" s="192"/>
      <c r="G53" s="163"/>
      <c r="H53" s="114"/>
    </row>
    <row r="54" spans="1:9" ht="46.9" customHeight="1" x14ac:dyDescent="0.2">
      <c r="A54" s="92"/>
      <c r="B54" s="8"/>
      <c r="C54" s="129"/>
      <c r="D54" s="143"/>
      <c r="E54" s="188"/>
      <c r="F54" s="192"/>
      <c r="G54" s="163"/>
      <c r="H54" s="114"/>
    </row>
    <row r="55" spans="1:9" ht="19.5" hidden="1" customHeight="1" x14ac:dyDescent="0.2">
      <c r="A55" s="92"/>
      <c r="B55" s="202"/>
      <c r="C55" s="129"/>
      <c r="D55" s="143"/>
      <c r="E55" s="188"/>
      <c r="F55" s="192"/>
      <c r="G55" s="165"/>
      <c r="H55" s="114"/>
    </row>
    <row r="56" spans="1:9" ht="24.75" hidden="1" customHeight="1" x14ac:dyDescent="0.2">
      <c r="A56" s="92"/>
      <c r="B56" s="8"/>
      <c r="C56" s="129"/>
      <c r="D56" s="144"/>
      <c r="E56" s="188"/>
      <c r="F56" s="192"/>
      <c r="G56" s="165"/>
      <c r="H56" s="114"/>
    </row>
    <row r="57" spans="1:9" ht="15.75" thickBot="1" x14ac:dyDescent="0.25">
      <c r="A57" s="92"/>
      <c r="B57" s="93"/>
      <c r="C57" s="131"/>
      <c r="D57" s="143"/>
      <c r="E57" s="188"/>
      <c r="F57" s="192"/>
      <c r="G57" s="163"/>
      <c r="H57" s="114"/>
    </row>
    <row r="58" spans="1:9" ht="62.25" customHeight="1" thickBot="1" x14ac:dyDescent="0.35">
      <c r="A58" s="148" t="s">
        <v>173</v>
      </c>
      <c r="B58" s="110"/>
      <c r="C58" s="132"/>
      <c r="D58" s="138"/>
      <c r="E58" s="189"/>
      <c r="F58" s="193"/>
      <c r="G58" s="164"/>
      <c r="H58" s="169">
        <f>SUM(H59:H71)</f>
        <v>238</v>
      </c>
      <c r="I58" s="158"/>
    </row>
    <row r="59" spans="1:9" ht="47.45" customHeight="1" x14ac:dyDescent="0.2">
      <c r="A59" s="108"/>
      <c r="B59" s="8" t="s">
        <v>158</v>
      </c>
      <c r="C59" s="129">
        <v>0.70833333333333337</v>
      </c>
      <c r="D59" s="144" t="s">
        <v>169</v>
      </c>
      <c r="E59" s="188"/>
      <c r="F59" s="188"/>
      <c r="G59" s="163" t="s">
        <v>17</v>
      </c>
      <c r="H59" s="114">
        <v>1</v>
      </c>
    </row>
    <row r="60" spans="1:9" ht="76.5" customHeight="1" x14ac:dyDescent="0.2">
      <c r="A60" s="108"/>
      <c r="B60" s="218" t="s">
        <v>219</v>
      </c>
      <c r="C60" s="129">
        <v>0.5</v>
      </c>
      <c r="D60" s="143" t="s">
        <v>100</v>
      </c>
      <c r="E60" s="188"/>
      <c r="F60" s="188" t="s">
        <v>316</v>
      </c>
      <c r="G60" s="163" t="s">
        <v>307</v>
      </c>
      <c r="H60" s="114">
        <v>30</v>
      </c>
    </row>
    <row r="61" spans="1:9" ht="48" customHeight="1" x14ac:dyDescent="0.2">
      <c r="A61" s="108"/>
      <c r="B61" s="8" t="s">
        <v>246</v>
      </c>
      <c r="C61" s="129">
        <v>0.72916666666666663</v>
      </c>
      <c r="D61" s="144" t="s">
        <v>100</v>
      </c>
      <c r="E61" s="188" t="s">
        <v>250</v>
      </c>
      <c r="F61" s="190"/>
      <c r="G61" s="163" t="s">
        <v>305</v>
      </c>
      <c r="H61" s="114">
        <v>66</v>
      </c>
    </row>
    <row r="62" spans="1:9" ht="48" customHeight="1" x14ac:dyDescent="0.2">
      <c r="A62" s="108"/>
      <c r="B62" s="8" t="s">
        <v>165</v>
      </c>
      <c r="C62" s="129">
        <v>0.70833333333333337</v>
      </c>
      <c r="D62" s="144" t="s">
        <v>100</v>
      </c>
      <c r="E62" s="188" t="s">
        <v>168</v>
      </c>
      <c r="F62" s="190"/>
      <c r="G62" s="163" t="s">
        <v>305</v>
      </c>
      <c r="H62" s="114">
        <v>53</v>
      </c>
    </row>
    <row r="63" spans="1:9" ht="48" customHeight="1" x14ac:dyDescent="0.2">
      <c r="A63" s="108"/>
      <c r="B63" s="221" t="s">
        <v>251</v>
      </c>
      <c r="C63" s="129">
        <v>0.52083333333333337</v>
      </c>
      <c r="D63" s="143" t="s">
        <v>100</v>
      </c>
      <c r="E63" s="188" t="s">
        <v>252</v>
      </c>
      <c r="F63" s="192"/>
      <c r="G63" s="163" t="s">
        <v>307</v>
      </c>
      <c r="H63" s="114">
        <v>10</v>
      </c>
    </row>
    <row r="64" spans="1:9" ht="48" customHeight="1" x14ac:dyDescent="0.2">
      <c r="A64" s="108"/>
      <c r="B64" s="221" t="s">
        <v>255</v>
      </c>
      <c r="C64" s="129">
        <v>0.5625</v>
      </c>
      <c r="D64" s="143" t="s">
        <v>257</v>
      </c>
      <c r="E64" s="188"/>
      <c r="F64" s="192"/>
      <c r="G64" s="163" t="s">
        <v>305</v>
      </c>
      <c r="H64" s="114">
        <v>60</v>
      </c>
    </row>
    <row r="65" spans="1:9" ht="48" customHeight="1" x14ac:dyDescent="0.2">
      <c r="A65" s="108"/>
      <c r="B65" s="221" t="s">
        <v>258</v>
      </c>
      <c r="C65" s="129">
        <v>0.5</v>
      </c>
      <c r="D65" s="144" t="s">
        <v>260</v>
      </c>
      <c r="E65" s="188"/>
      <c r="F65" s="192"/>
      <c r="G65" s="163"/>
      <c r="H65" s="114">
        <v>18</v>
      </c>
    </row>
    <row r="66" spans="1:9" ht="46.9" customHeight="1" x14ac:dyDescent="0.2">
      <c r="A66" s="108"/>
      <c r="B66" s="221" t="s">
        <v>258</v>
      </c>
      <c r="C66" s="129">
        <v>0.5</v>
      </c>
      <c r="D66" s="144" t="s">
        <v>259</v>
      </c>
      <c r="E66" s="188"/>
      <c r="F66" s="192"/>
      <c r="G66" s="163"/>
      <c r="H66" s="114"/>
      <c r="I66">
        <v>18</v>
      </c>
    </row>
    <row r="67" spans="1:9" ht="40.15" hidden="1" customHeight="1" x14ac:dyDescent="0.2">
      <c r="A67" s="108"/>
      <c r="B67" s="8"/>
      <c r="C67" s="129"/>
      <c r="D67" s="143"/>
      <c r="E67" s="188"/>
      <c r="F67" s="192"/>
      <c r="G67" s="163"/>
      <c r="H67" s="114"/>
    </row>
    <row r="68" spans="1:9" ht="48" hidden="1" customHeight="1" x14ac:dyDescent="0.2">
      <c r="A68" s="108"/>
      <c r="B68" s="49"/>
      <c r="C68" s="129">
        <v>0.70833333333333337</v>
      </c>
      <c r="D68" s="144"/>
      <c r="E68" s="188"/>
      <c r="F68" s="192"/>
      <c r="G68" s="163"/>
      <c r="H68" s="114"/>
    </row>
    <row r="69" spans="1:9" ht="44.45" hidden="1" customHeight="1" x14ac:dyDescent="0.2">
      <c r="A69" s="108"/>
      <c r="B69" s="8"/>
      <c r="C69" s="129">
        <v>0.41666666666666669</v>
      </c>
      <c r="D69" s="144"/>
      <c r="E69" s="188"/>
      <c r="F69" s="192"/>
      <c r="G69" s="163"/>
      <c r="H69" s="114"/>
    </row>
    <row r="70" spans="1:9" ht="44.45" hidden="1" customHeight="1" x14ac:dyDescent="0.2">
      <c r="A70" s="108"/>
      <c r="B70" s="8"/>
      <c r="C70" s="129">
        <v>0.52083333333333337</v>
      </c>
      <c r="D70" s="144"/>
      <c r="E70" s="188"/>
      <c r="F70" s="192"/>
      <c r="G70" s="163"/>
      <c r="H70" s="114"/>
    </row>
    <row r="71" spans="1:9" ht="44.45" hidden="1" customHeight="1" x14ac:dyDescent="0.2">
      <c r="A71" s="108"/>
      <c r="B71" s="8"/>
      <c r="C71" s="129">
        <v>0.70833333333333337</v>
      </c>
      <c r="D71" s="144"/>
      <c r="E71" s="188"/>
      <c r="F71" s="192"/>
      <c r="G71" s="163"/>
      <c r="H71" s="114"/>
    </row>
    <row r="72" spans="1:9" ht="26.45" customHeight="1" thickBot="1" x14ac:dyDescent="0.25">
      <c r="A72" s="108"/>
      <c r="B72" s="156"/>
      <c r="C72" s="130"/>
      <c r="D72" s="145"/>
      <c r="E72" s="188"/>
      <c r="F72" s="192"/>
      <c r="G72" s="163"/>
      <c r="H72" s="114"/>
    </row>
    <row r="73" spans="1:9" ht="29.45" customHeight="1" thickBot="1" x14ac:dyDescent="0.35">
      <c r="A73" s="149" t="s">
        <v>174</v>
      </c>
      <c r="B73" s="228"/>
      <c r="C73" s="133"/>
      <c r="D73" s="138"/>
      <c r="E73" s="189"/>
      <c r="F73" s="193"/>
      <c r="G73" s="164"/>
      <c r="H73" s="169">
        <f>SUM(H74:H83)</f>
        <v>213</v>
      </c>
      <c r="I73" s="158"/>
    </row>
    <row r="74" spans="1:9" ht="87" customHeight="1" x14ac:dyDescent="0.2">
      <c r="A74" s="94"/>
      <c r="B74" s="221" t="s">
        <v>243</v>
      </c>
      <c r="C74" s="129">
        <v>0.5</v>
      </c>
      <c r="D74" s="143" t="s">
        <v>100</v>
      </c>
      <c r="E74" s="188" t="s">
        <v>261</v>
      </c>
      <c r="F74" s="188"/>
      <c r="G74" s="163" t="s">
        <v>305</v>
      </c>
      <c r="H74" s="114">
        <v>80</v>
      </c>
    </row>
    <row r="75" spans="1:9" ht="58.15" customHeight="1" x14ac:dyDescent="0.2">
      <c r="A75" s="94"/>
      <c r="B75" s="41" t="s">
        <v>264</v>
      </c>
      <c r="C75" s="129">
        <v>0.5</v>
      </c>
      <c r="D75" s="144" t="s">
        <v>100</v>
      </c>
      <c r="E75" s="188" t="s">
        <v>267</v>
      </c>
      <c r="F75" s="190"/>
      <c r="G75" s="165" t="s">
        <v>308</v>
      </c>
      <c r="H75" s="114">
        <v>68</v>
      </c>
    </row>
    <row r="76" spans="1:9" ht="58.15" customHeight="1" x14ac:dyDescent="0.2">
      <c r="A76" s="94"/>
      <c r="B76" s="8" t="s">
        <v>268</v>
      </c>
      <c r="C76" s="129">
        <v>0.5</v>
      </c>
      <c r="D76" s="144" t="s">
        <v>100</v>
      </c>
      <c r="E76" s="188" t="s">
        <v>272</v>
      </c>
      <c r="F76" s="188"/>
      <c r="G76" s="165" t="s">
        <v>308</v>
      </c>
      <c r="H76" s="114">
        <v>65</v>
      </c>
    </row>
    <row r="77" spans="1:9" ht="58.15" hidden="1" customHeight="1" x14ac:dyDescent="0.2">
      <c r="A77" s="94"/>
      <c r="B77" s="8"/>
      <c r="C77" s="129"/>
      <c r="D77" s="144"/>
      <c r="E77" s="188"/>
      <c r="F77" s="188"/>
      <c r="G77" s="165"/>
      <c r="H77" s="114"/>
    </row>
    <row r="78" spans="1:9" ht="58.15" hidden="1" customHeight="1" x14ac:dyDescent="0.2">
      <c r="A78" s="94"/>
      <c r="B78" s="8"/>
      <c r="C78" s="129"/>
      <c r="D78" s="144"/>
      <c r="E78" s="188"/>
      <c r="F78" s="190"/>
      <c r="G78" s="163"/>
      <c r="H78" s="114"/>
    </row>
    <row r="79" spans="1:9" ht="51.6" hidden="1" customHeight="1" x14ac:dyDescent="0.2">
      <c r="A79" s="94"/>
      <c r="B79" s="8"/>
      <c r="C79" s="129"/>
      <c r="D79" s="144"/>
      <c r="E79" s="188"/>
      <c r="F79" s="192"/>
      <c r="G79" s="163"/>
      <c r="H79" s="114"/>
    </row>
    <row r="80" spans="1:9" ht="51.6" hidden="1" customHeight="1" x14ac:dyDescent="0.2">
      <c r="A80" s="94"/>
      <c r="B80" s="8"/>
      <c r="C80" s="129"/>
      <c r="D80" s="144"/>
      <c r="E80" s="188"/>
      <c r="F80" s="192"/>
      <c r="G80" s="163"/>
      <c r="H80" s="114"/>
    </row>
    <row r="81" spans="1:9" ht="49.9" hidden="1" customHeight="1" x14ac:dyDescent="0.2">
      <c r="A81" s="94"/>
      <c r="B81" s="8"/>
      <c r="C81" s="129">
        <v>0.375</v>
      </c>
      <c r="D81" s="144"/>
      <c r="E81" s="188"/>
      <c r="F81" s="192"/>
      <c r="G81" s="171"/>
      <c r="H81" s="114"/>
    </row>
    <row r="82" spans="1:9" ht="49.9" hidden="1" customHeight="1" x14ac:dyDescent="0.2">
      <c r="A82" s="94"/>
      <c r="B82" s="8"/>
      <c r="C82" s="129">
        <v>0.5</v>
      </c>
      <c r="D82" s="144"/>
      <c r="E82" s="188"/>
      <c r="F82" s="192"/>
      <c r="G82" s="171"/>
      <c r="H82" s="114"/>
    </row>
    <row r="83" spans="1:9" ht="42.6" hidden="1" customHeight="1" x14ac:dyDescent="0.2">
      <c r="A83" s="94"/>
      <c r="B83" s="8"/>
      <c r="C83" s="172">
        <v>0.5</v>
      </c>
      <c r="D83" s="143"/>
      <c r="E83" s="188"/>
      <c r="F83" s="192"/>
      <c r="G83" s="163"/>
      <c r="H83" s="114"/>
    </row>
    <row r="84" spans="1:9" ht="42.6" customHeight="1" x14ac:dyDescent="0.2">
      <c r="A84" s="259"/>
      <c r="B84" s="8" t="s">
        <v>273</v>
      </c>
      <c r="C84" s="172">
        <v>0.5</v>
      </c>
      <c r="D84" s="143" t="s">
        <v>276</v>
      </c>
      <c r="E84" s="188"/>
      <c r="F84" s="192"/>
      <c r="G84" s="163" t="s">
        <v>305</v>
      </c>
      <c r="H84" s="114">
        <v>23</v>
      </c>
    </row>
    <row r="85" spans="1:9" ht="42.6" customHeight="1" x14ac:dyDescent="0.2">
      <c r="A85" s="259"/>
      <c r="B85" s="8" t="s">
        <v>280</v>
      </c>
      <c r="C85" s="172">
        <v>0.5625</v>
      </c>
      <c r="D85" s="143" t="s">
        <v>281</v>
      </c>
      <c r="E85" s="188" t="s">
        <v>282</v>
      </c>
      <c r="F85" s="192"/>
      <c r="G85" s="163" t="s">
        <v>307</v>
      </c>
      <c r="H85" s="114">
        <v>40</v>
      </c>
    </row>
    <row r="86" spans="1:9" ht="42.6" customHeight="1" x14ac:dyDescent="0.2">
      <c r="A86" s="259"/>
      <c r="B86" s="41" t="s">
        <v>219</v>
      </c>
      <c r="C86" s="172">
        <v>0.5</v>
      </c>
      <c r="D86" s="143" t="s">
        <v>276</v>
      </c>
      <c r="E86" s="188"/>
      <c r="F86" s="188" t="s">
        <v>316</v>
      </c>
      <c r="G86" s="163" t="s">
        <v>305</v>
      </c>
      <c r="H86" s="114">
        <v>30</v>
      </c>
    </row>
    <row r="87" spans="1:9" ht="16.899999999999999" customHeight="1" x14ac:dyDescent="0.2">
      <c r="A87" s="116"/>
      <c r="B87" s="41" t="s">
        <v>219</v>
      </c>
      <c r="C87" s="134">
        <v>0.58333333333333337</v>
      </c>
      <c r="D87" s="204" t="s">
        <v>309</v>
      </c>
      <c r="E87" s="188"/>
      <c r="F87" s="192"/>
      <c r="G87" s="163" t="s">
        <v>310</v>
      </c>
      <c r="H87" s="114"/>
    </row>
    <row r="88" spans="1:9" ht="27" customHeight="1" thickBot="1" x14ac:dyDescent="0.35">
      <c r="A88" s="150" t="s">
        <v>175</v>
      </c>
      <c r="B88" s="119"/>
      <c r="C88" s="135"/>
      <c r="D88" s="186"/>
      <c r="E88" s="189"/>
      <c r="F88" s="193"/>
      <c r="G88" s="164"/>
      <c r="H88" s="169">
        <f>SUM(H89:H94)</f>
        <v>261</v>
      </c>
      <c r="I88" s="158"/>
    </row>
    <row r="89" spans="1:9" ht="53.45" customHeight="1" x14ac:dyDescent="0.2">
      <c r="A89" s="107"/>
      <c r="B89" s="202" t="s">
        <v>283</v>
      </c>
      <c r="C89" s="129">
        <v>0.5</v>
      </c>
      <c r="D89" s="144" t="s">
        <v>276</v>
      </c>
      <c r="E89" s="188" t="s">
        <v>284</v>
      </c>
      <c r="F89" s="188"/>
      <c r="G89" s="165" t="s">
        <v>305</v>
      </c>
      <c r="H89" s="114">
        <v>80</v>
      </c>
    </row>
    <row r="90" spans="1:9" ht="53.45" customHeight="1" x14ac:dyDescent="0.2">
      <c r="A90" s="107"/>
      <c r="B90" s="40" t="s">
        <v>264</v>
      </c>
      <c r="C90" s="129">
        <v>0.5</v>
      </c>
      <c r="D90" s="144" t="s">
        <v>276</v>
      </c>
      <c r="E90" s="188" t="s">
        <v>289</v>
      </c>
      <c r="F90" s="188"/>
      <c r="G90" s="165" t="s">
        <v>308</v>
      </c>
      <c r="H90" s="114">
        <v>68</v>
      </c>
    </row>
    <row r="91" spans="1:9" ht="53.45" customHeight="1" x14ac:dyDescent="0.2">
      <c r="A91" s="107"/>
      <c r="B91" s="225" t="s">
        <v>290</v>
      </c>
      <c r="C91" s="129">
        <v>0.5</v>
      </c>
      <c r="D91" s="144" t="s">
        <v>276</v>
      </c>
      <c r="E91" s="188" t="s">
        <v>294</v>
      </c>
      <c r="F91" s="188"/>
      <c r="G91" s="165" t="s">
        <v>305</v>
      </c>
      <c r="H91" s="114">
        <v>48</v>
      </c>
    </row>
    <row r="92" spans="1:9" ht="50.45" customHeight="1" x14ac:dyDescent="0.2">
      <c r="A92" s="107"/>
      <c r="B92" s="202" t="s">
        <v>268</v>
      </c>
      <c r="C92" s="129">
        <v>0.5</v>
      </c>
      <c r="D92" s="144" t="s">
        <v>100</v>
      </c>
      <c r="E92" s="188" t="s">
        <v>295</v>
      </c>
      <c r="F92" s="188"/>
      <c r="G92" s="165" t="s">
        <v>308</v>
      </c>
      <c r="H92" s="114">
        <v>65</v>
      </c>
    </row>
    <row r="93" spans="1:9" ht="50.45" hidden="1" customHeight="1" x14ac:dyDescent="0.2">
      <c r="A93" s="107"/>
      <c r="B93" s="202"/>
      <c r="C93" s="129"/>
      <c r="D93" s="144"/>
      <c r="E93" s="188"/>
      <c r="F93" s="190"/>
      <c r="G93" s="165"/>
      <c r="H93" s="114"/>
    </row>
    <row r="94" spans="1:9" hidden="1" x14ac:dyDescent="0.2">
      <c r="A94" s="107"/>
      <c r="B94" s="8"/>
      <c r="C94" s="129"/>
      <c r="D94" s="144"/>
      <c r="E94" s="188"/>
      <c r="F94" s="190"/>
      <c r="G94" s="165"/>
      <c r="H94" s="114"/>
    </row>
    <row r="95" spans="1:9" x14ac:dyDescent="0.2">
      <c r="A95" s="115"/>
      <c r="B95" s="40"/>
      <c r="C95" s="131"/>
      <c r="D95" s="143"/>
      <c r="E95" s="188"/>
      <c r="F95" s="192"/>
      <c r="G95" s="163"/>
      <c r="H95" s="114"/>
    </row>
    <row r="96" spans="1:9" ht="31.15" customHeight="1" x14ac:dyDescent="0.3">
      <c r="A96" s="150" t="s">
        <v>176</v>
      </c>
      <c r="B96" s="104"/>
      <c r="C96" s="136"/>
      <c r="D96" s="187"/>
      <c r="E96" s="189"/>
      <c r="F96" s="193"/>
      <c r="G96" s="164"/>
      <c r="H96" s="169">
        <f>SUM(H97:H103)</f>
        <v>278</v>
      </c>
      <c r="I96" s="158"/>
    </row>
    <row r="97" spans="1:8" ht="73.5" customHeight="1" thickBot="1" x14ac:dyDescent="0.25">
      <c r="A97" s="115"/>
      <c r="B97" s="267" t="s">
        <v>243</v>
      </c>
      <c r="C97" s="129">
        <v>0.5</v>
      </c>
      <c r="D97" s="144" t="s">
        <v>100</v>
      </c>
      <c r="E97" s="188" t="s">
        <v>297</v>
      </c>
      <c r="F97" s="190"/>
      <c r="G97" s="163" t="s">
        <v>305</v>
      </c>
      <c r="H97" s="114">
        <v>80</v>
      </c>
    </row>
    <row r="98" spans="1:8" ht="48.6" hidden="1" customHeight="1" thickBot="1" x14ac:dyDescent="0.25">
      <c r="A98" s="114"/>
      <c r="B98" s="8"/>
      <c r="C98" s="172"/>
      <c r="D98" s="201"/>
      <c r="E98" s="188"/>
      <c r="F98" s="114"/>
      <c r="G98" s="128"/>
      <c r="H98" s="114"/>
    </row>
    <row r="99" spans="1:8" ht="48.6" hidden="1" customHeight="1" thickBot="1" x14ac:dyDescent="0.25">
      <c r="A99" s="114"/>
      <c r="B99" s="8"/>
      <c r="C99" s="172"/>
      <c r="D99" s="201"/>
      <c r="E99" s="188"/>
      <c r="F99" s="114"/>
      <c r="G99" s="128"/>
      <c r="H99" s="114"/>
    </row>
    <row r="100" spans="1:8" ht="48.6" customHeight="1" thickBot="1" x14ac:dyDescent="0.25">
      <c r="A100" s="114"/>
      <c r="B100" s="268" t="s">
        <v>264</v>
      </c>
      <c r="C100" s="172">
        <v>0.5</v>
      </c>
      <c r="D100" s="201" t="s">
        <v>276</v>
      </c>
      <c r="E100" s="188" t="s">
        <v>302</v>
      </c>
      <c r="F100" s="114"/>
      <c r="G100" s="128" t="s">
        <v>308</v>
      </c>
      <c r="H100" s="114">
        <v>68</v>
      </c>
    </row>
    <row r="101" spans="1:8" ht="48.6" customHeight="1" thickBot="1" x14ac:dyDescent="0.25">
      <c r="A101" s="114"/>
      <c r="B101" s="202" t="s">
        <v>299</v>
      </c>
      <c r="C101" s="172">
        <v>0.5</v>
      </c>
      <c r="D101" s="201" t="s">
        <v>276</v>
      </c>
      <c r="E101" s="188" t="s">
        <v>303</v>
      </c>
      <c r="F101" s="114"/>
      <c r="G101" s="128" t="s">
        <v>308</v>
      </c>
      <c r="H101" s="114">
        <v>65</v>
      </c>
    </row>
    <row r="102" spans="1:8" ht="48.6" customHeight="1" thickBot="1" x14ac:dyDescent="0.25">
      <c r="A102" s="114"/>
      <c r="B102" s="8" t="s">
        <v>268</v>
      </c>
      <c r="C102" s="172">
        <v>0.5</v>
      </c>
      <c r="D102" s="201" t="s">
        <v>276</v>
      </c>
      <c r="E102" s="188" t="s">
        <v>304</v>
      </c>
      <c r="F102" s="114"/>
      <c r="G102" s="128" t="s">
        <v>307</v>
      </c>
      <c r="H102" s="114">
        <v>65</v>
      </c>
    </row>
    <row r="103" spans="1:8" ht="25.15" customHeight="1" thickBot="1" x14ac:dyDescent="0.25">
      <c r="A103" s="114"/>
      <c r="B103" s="8"/>
      <c r="C103" s="172"/>
      <c r="D103" s="201"/>
      <c r="E103" s="137"/>
      <c r="F103" s="114"/>
      <c r="G103" s="76"/>
      <c r="H103" s="114"/>
    </row>
  </sheetData>
  <phoneticPr fontId="19" type="noConversion"/>
  <pageMargins left="0.70866141732283472" right="0.70866141732283472" top="0.74803149606299213" bottom="0.74803149606299213" header="0.31496062992125984" footer="0.31496062992125984"/>
  <pageSetup paperSize="9" scale="3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2C5D6F59F2746B3B027BE2F8FF9DA" ma:contentTypeVersion="10" ma:contentTypeDescription="Create a new document." ma:contentTypeScope="" ma:versionID="ea27efb5f59a95025b442c7073b281c7">
  <xsd:schema xmlns:xsd="http://www.w3.org/2001/XMLSchema" xmlns:xs="http://www.w3.org/2001/XMLSchema" xmlns:p="http://schemas.microsoft.com/office/2006/metadata/properties" xmlns:ns2="053738f2-b0c4-4b58-a7ff-b0b3ae4d0193" targetNamespace="http://schemas.microsoft.com/office/2006/metadata/properties" ma:root="true" ma:fieldsID="be155e2163034addfd7a83b2eb865a4f" ns2:_="">
    <xsd:import namespace="053738f2-b0c4-4b58-a7ff-b0b3ae4d0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DateandTim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738f2-b0c4-4b58-a7ff-b0b3ae4d01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DateandTime" ma:index="15" nillable="true" ma:displayName="Date and Time" ma:format="DateTime" ma:internalName="DateandTime">
      <xsd:simpleType>
        <xsd:restriction base="dms:DateTim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053738f2-b0c4-4b58-a7ff-b0b3ae4d01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E0D45-7A41-4465-AE2A-8ABEB17C3E7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53738f2-b0c4-4b58-a7ff-b0b3ae4d0193"/>
  </ds:schemaRefs>
</ds:datastoreItem>
</file>

<file path=customXml/itemProps2.xml><?xml version="1.0" encoding="utf-8"?>
<ds:datastoreItem xmlns:ds="http://schemas.openxmlformats.org/officeDocument/2006/customXml" ds:itemID="{068DF6DC-C1C1-41DA-B434-4D0A0B57AB67}">
  <ds:schemaRefs>
    <ds:schemaRef ds:uri="http://schemas.microsoft.com/office/2006/metadata/properties"/>
    <ds:schemaRef ds:uri="http://www.w3.org/2000/xmlns/"/>
    <ds:schemaRef ds:uri="053738f2-b0c4-4b58-a7ff-b0b3ae4d0193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FA97CF3C-AB1F-40FE-9E59-51B179B08D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Ahead 24 Feb - 02 Mar 25</vt:lpstr>
      <vt:lpstr>Lunches &amp; Special 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Monethi</dc:creator>
  <cp:keywords/>
  <dc:description/>
  <cp:lastModifiedBy>Kevin Kutoane</cp:lastModifiedBy>
  <cp:revision/>
  <cp:lastPrinted>2025-01-15T11:57:43Z</cp:lastPrinted>
  <dcterms:created xsi:type="dcterms:W3CDTF">2024-08-14T21:20:46Z</dcterms:created>
  <dcterms:modified xsi:type="dcterms:W3CDTF">2025-02-24T03:01:29Z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0x01010018A2C5D6F59F2746B3B027BE2F8FF9DA</vt:lpwstr>
  </property>
</Properties>
</file>